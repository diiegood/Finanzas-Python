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reep\OneDrive\Escritorio\"/>
    </mc:Choice>
  </mc:AlternateContent>
  <xr:revisionPtr revIDLastSave="0" documentId="13_ncr:1_{0591DCF7-FE66-4B1E-AA78-7B855ECDAD7A}" xr6:coauthVersionLast="47" xr6:coauthVersionMax="47" xr10:uidLastSave="{00000000-0000-0000-0000-000000000000}"/>
  <bookViews>
    <workbookView xWindow="-23136" yWindow="-6606" windowWidth="23232" windowHeight="12552" activeTab="1" xr2:uid="{C129FC16-1D6B-42D7-BD67-0D4AA0BF5F54}"/>
  </bookViews>
  <sheets>
    <sheet name="TBBB" sheetId="1" r:id="rId1"/>
    <sheet name="TD-TBBB" sheetId="4" r:id="rId2"/>
  </sheets>
  <calcPr calcId="191029"/>
  <pivotCaches>
    <pivotCache cacheId="18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2" i="1"/>
</calcChain>
</file>

<file path=xl/sharedStrings.xml><?xml version="1.0" encoding="utf-8"?>
<sst xmlns="http://schemas.openxmlformats.org/spreadsheetml/2006/main" count="22" uniqueCount="19">
  <si>
    <t>Date</t>
  </si>
  <si>
    <t>Close/Last</t>
  </si>
  <si>
    <t>Volume</t>
  </si>
  <si>
    <t>Open</t>
  </si>
  <si>
    <t>Etiquetas de fila</t>
  </si>
  <si>
    <t>Total general</t>
  </si>
  <si>
    <t>2024</t>
  </si>
  <si>
    <t>2025</t>
  </si>
  <si>
    <t>Suma de Close/Last</t>
  </si>
  <si>
    <t>Variacion</t>
  </si>
  <si>
    <t>Cuenta financiera</t>
  </si>
  <si>
    <t>Suma de Volume</t>
  </si>
  <si>
    <t>Suma de Open</t>
  </si>
  <si>
    <t>Suma de Variacion</t>
  </si>
  <si>
    <t>Suma de Cuenta financiera</t>
  </si>
  <si>
    <t>Trim.1</t>
  </si>
  <si>
    <t>Trim.2</t>
  </si>
  <si>
    <t>Trim.3</t>
  </si>
  <si>
    <t>Trim.4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</si>
</sst>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;[Red]\-&quot;$&quot;#,##0.00"/>
    <numFmt numFmtId="164" formatCode="yyyy/mm/dd"/>
    <numFmt numFmtId="165" formatCode="#,##0.0000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8" fontId="0" fillId="0" borderId="0" xfId="0" applyNumberFormat="1"/>
    <xf numFmtId="16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0" fontId="0" fillId="0" borderId="0" xfId="0" applyAlignment="1">
      <alignment horizontal="left" indent="1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ego Valdez" refreshedDate="45894.833493518519" createdVersion="8" refreshedVersion="8" minRefreshableVersion="3" recordCount="386" xr:uid="{326470A5-5F94-4446-BDAC-B8B77DBCF670}">
  <cacheSource type="worksheet">
    <worksheetSource ref="A1:F387" sheet="TBBB"/>
  </cacheSource>
  <cacheFields count="9">
    <cacheField name="Date" numFmtId="164">
      <sharedItems containsSemiMixedTypes="0" containsNonDate="0" containsDate="1" containsString="0" minDate="2024-02-09T00:00:00" maxDate="2025-08-26T00:00:00" count="386">
        <d v="2024-02-09T00:00:00"/>
        <d v="2024-02-12T00:00:00"/>
        <d v="2024-02-13T00:00:00"/>
        <d v="2024-02-14T00:00:00"/>
        <d v="2024-02-15T00:00:00"/>
        <d v="2024-02-16T00:00:00"/>
        <d v="2024-02-20T00:00:00"/>
        <d v="2024-02-21T00:00:00"/>
        <d v="2024-02-22T00:00:00"/>
        <d v="2024-02-23T00:00:00"/>
        <d v="2024-02-26T00:00:00"/>
        <d v="2024-02-27T00:00:00"/>
        <d v="2024-02-28T00:00:00"/>
        <d v="2024-02-29T00:00:00"/>
        <d v="2024-03-01T00:00:00"/>
        <d v="2024-03-04T00:00:00"/>
        <d v="2024-03-05T00:00:00"/>
        <d v="2024-03-06T00:00:00"/>
        <d v="2024-03-07T00:00:00"/>
        <d v="2024-03-08T00:00:00"/>
        <d v="2024-03-11T00:00:00"/>
        <d v="2024-03-12T00:00:00"/>
        <d v="2024-03-13T00:00:00"/>
        <d v="2024-03-14T00:00:00"/>
        <d v="2024-03-15T00:00:00"/>
        <d v="2024-03-18T00:00:00"/>
        <d v="2024-03-19T00:00:00"/>
        <d v="2024-03-20T00:00:00"/>
        <d v="2024-03-21T00:00:00"/>
        <d v="2024-03-22T00:00:00"/>
        <d v="2024-03-25T00:00:00"/>
        <d v="2024-03-26T00:00:00"/>
        <d v="2024-03-27T00:00:00"/>
        <d v="2024-03-28T00:00:00"/>
        <d v="2024-04-01T00:00:00"/>
        <d v="2024-04-02T00:00:00"/>
        <d v="2024-04-03T00:00:00"/>
        <d v="2024-04-04T00:00:00"/>
        <d v="2024-04-05T00:00:00"/>
        <d v="2024-04-08T00:00:00"/>
        <d v="2024-04-09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2T00:00:00"/>
        <d v="2024-04-23T00:00:00"/>
        <d v="2024-04-24T00:00:00"/>
        <d v="2024-04-25T00:00:00"/>
        <d v="2024-04-26T00:00:00"/>
        <d v="2024-04-29T00:00:00"/>
        <d v="2024-04-30T00:00:00"/>
        <d v="2024-05-01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20T00:00:00"/>
        <d v="2024-05-21T00:00:00"/>
        <d v="2024-05-22T00:00:00"/>
        <d v="2024-05-23T00:00:00"/>
        <d v="2024-05-24T00:00:00"/>
        <d v="2024-05-28T00:00:00"/>
        <d v="2024-05-29T00:00:00"/>
        <d v="2024-05-30T00:00:00"/>
        <d v="2024-05-31T00:00:00"/>
        <d v="2024-06-03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7T00:00:00"/>
        <d v="2024-06-18T00:00:00"/>
        <d v="2024-06-20T00:00:00"/>
        <d v="2024-06-21T00:00:00"/>
        <d v="2024-06-24T00:00:00"/>
        <d v="2024-06-25T00:00:00"/>
        <d v="2024-06-26T00:00:00"/>
        <d v="2024-06-27T00:00:00"/>
        <d v="2024-06-28T00:00:00"/>
        <d v="2024-07-01T00:00:00"/>
        <d v="2024-07-02T00:00:00"/>
        <d v="2024-07-03T00:00:00"/>
        <d v="2024-07-05T00:00:00"/>
        <d v="2024-07-08T00:00:00"/>
        <d v="2024-07-09T00:00:00"/>
        <d v="2024-07-10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2T00:00:00"/>
        <d v="2024-07-23T00:00:00"/>
        <d v="2024-07-24T00:00:00"/>
        <d v="2024-07-25T00:00:00"/>
        <d v="2024-07-26T00:00:00"/>
        <d v="2024-07-29T00:00:00"/>
        <d v="2024-07-30T00:00:00"/>
        <d v="2024-07-31T00:00:00"/>
        <d v="2024-08-01T00:00:00"/>
        <d v="2024-08-02T00:00:00"/>
        <d v="2024-08-05T00:00:00"/>
        <d v="2024-08-06T00:00:00"/>
        <d v="2024-08-07T00:00:00"/>
        <d v="2024-08-08T00:00:00"/>
        <d v="2024-08-09T00:00:00"/>
        <d v="2024-08-12T00:00:00"/>
        <d v="2024-08-13T00:00:00"/>
        <d v="2024-08-14T00:00:00"/>
        <d v="2024-08-15T00:00:00"/>
        <d v="2024-08-16T00:00:00"/>
        <d v="2024-08-19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9-03T00:00:00"/>
        <d v="2024-09-04T00:00:00"/>
        <d v="2024-09-05T00:00:00"/>
        <d v="2024-09-06T00:00:00"/>
        <d v="2024-09-09T00:00:00"/>
        <d v="2024-09-10T00:00:00"/>
        <d v="2024-09-11T00:00:00"/>
        <d v="2024-09-12T00:00:00"/>
        <d v="2024-09-13T00:00:00"/>
        <d v="2024-09-16T00:00:00"/>
        <d v="2024-09-17T00:00:00"/>
        <d v="2024-09-18T00:00:00"/>
        <d v="2024-09-19T00:00:00"/>
        <d v="2024-09-20T00:00:00"/>
        <d v="2024-09-23T00:00:00"/>
        <d v="2024-09-24T00:00:00"/>
        <d v="2024-09-25T00:00:00"/>
        <d v="2024-09-26T00:00:00"/>
        <d v="2024-09-27T00:00:00"/>
        <d v="2024-09-30T00:00:00"/>
        <d v="2024-10-01T00:00:00"/>
        <d v="2024-10-02T00:00:00"/>
        <d v="2024-10-03T00:00:00"/>
        <d v="2024-10-04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4T00:00:00"/>
        <d v="2024-10-25T00:00:00"/>
        <d v="2024-10-28T00:00:00"/>
        <d v="2024-10-29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8T00:00:00"/>
        <d v="2024-11-19T00:00:00"/>
        <d v="2024-11-20T00:00:00"/>
        <d v="2024-11-21T00:00:00"/>
        <d v="2024-11-22T00:00:00"/>
        <d v="2024-11-25T00:00:00"/>
        <d v="2024-11-26T00:00:00"/>
        <d v="2024-11-27T00:00:00"/>
        <d v="2024-11-29T00:00:00"/>
        <d v="2024-12-02T00:00:00"/>
        <d v="2024-12-03T00:00:00"/>
        <d v="2024-12-04T00:00:00"/>
        <d v="2024-12-05T00:00:00"/>
        <d v="2024-12-06T00:00:00"/>
        <d v="2024-12-09T00:00:00"/>
        <d v="2024-12-10T00:00:00"/>
        <d v="2024-12-11T00:00:00"/>
        <d v="2024-12-12T00:00:00"/>
        <d v="2024-12-13T00:00:00"/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6T00:00:00"/>
        <d v="2024-12-27T00:00:00"/>
        <d v="2024-12-30T00:00:00"/>
        <d v="2024-12-31T00:00:00"/>
        <d v="2025-01-02T00:00:00"/>
        <d v="2025-01-03T00:00:00"/>
        <d v="2025-01-06T00:00:00"/>
        <d v="2025-01-07T00:00:00"/>
        <d v="2025-01-08T00:00:00"/>
        <d v="2025-01-10T00:00:00"/>
        <d v="2025-01-13T00:00:00"/>
        <d v="2025-01-14T00:00:00"/>
        <d v="2025-01-15T00:00:00"/>
        <d v="2025-01-16T00:00:00"/>
        <d v="2025-01-17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3T00:00:00"/>
        <d v="2025-02-04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2-28T00:00:00"/>
        <d v="2025-03-03T00:00:00"/>
        <d v="2025-03-04T00:00:00"/>
        <d v="2025-03-05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4T00:00:00"/>
        <d v="2025-03-25T00:00:00"/>
        <d v="2025-03-26T00:00:00"/>
        <d v="2025-03-27T00:00:00"/>
        <d v="2025-03-28T00:00:00"/>
        <d v="2025-03-31T00:00:00"/>
        <d v="2025-04-01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4T00:00:00"/>
        <d v="2025-04-15T00:00:00"/>
        <d v="2025-04-16T00:00:00"/>
        <d v="2025-04-17T00:00:00"/>
        <d v="2025-04-21T00:00:00"/>
        <d v="2025-04-22T00:00:00"/>
        <d v="2025-04-23T00:00:00"/>
        <d v="2025-04-24T00:00:00"/>
        <d v="2025-04-25T00:00:00"/>
        <d v="2025-04-28T00:00:00"/>
        <d v="2025-04-29T00:00:00"/>
        <d v="2025-04-30T00:00:00"/>
        <d v="2025-05-01T00:00:00"/>
        <d v="2025-05-02T00:00:00"/>
        <d v="2025-05-05T00:00:00"/>
        <d v="2025-05-06T00:00:00"/>
        <d v="2025-05-07T00:00:00"/>
        <d v="2025-05-08T00:00:00"/>
        <d v="2025-05-09T00:00:00"/>
        <d v="2025-05-12T00:00:00"/>
        <d v="2025-05-13T00:00:00"/>
        <d v="2025-05-14T00:00:00"/>
        <d v="2025-05-15T00:00:00"/>
        <d v="2025-05-16T00:00:00"/>
        <d v="2025-05-19T00:00:00"/>
        <d v="2025-05-20T00:00:00"/>
        <d v="2025-05-21T00:00:00"/>
        <d v="2025-05-22T00:00:00"/>
        <d v="2025-05-23T00:00:00"/>
        <d v="2025-05-27T00:00:00"/>
        <d v="2025-05-28T00:00:00"/>
        <d v="2025-05-29T00:00:00"/>
        <d v="2025-05-30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6-16T00:00:00"/>
        <d v="2025-06-17T00:00:00"/>
        <d v="2025-06-18T00:00:00"/>
        <d v="2025-06-20T00:00:00"/>
        <d v="2025-06-23T00:00:00"/>
        <d v="2025-06-24T00:00:00"/>
        <d v="2025-06-25T00:00:00"/>
        <d v="2025-06-26T00:00:00"/>
        <d v="2025-06-27T00:00:00"/>
        <d v="2025-06-30T00:00:00"/>
        <d v="2025-07-01T00:00:00"/>
        <d v="2025-07-02T00:00:00"/>
        <d v="2025-07-03T00:00:00"/>
        <d v="2025-07-07T00:00:00"/>
        <d v="2025-07-08T00:00:00"/>
        <d v="2025-07-09T00:00:00"/>
        <d v="2025-07-10T00:00:00"/>
        <d v="2025-07-11T00:00:00"/>
        <d v="2025-07-14T00:00:00"/>
        <d v="2025-07-15T00:00:00"/>
        <d v="2025-07-16T00:00:00"/>
        <d v="2025-07-17T00:00:00"/>
        <d v="2025-07-18T00:00:00"/>
        <d v="2025-07-21T00:00:00"/>
        <d v="2025-07-22T00:00:00"/>
        <d v="2025-07-23T00:00:00"/>
        <d v="2025-07-24T00:00:00"/>
        <d v="2025-07-25T00:00:00"/>
        <d v="2025-07-28T00:00:00"/>
        <d v="2025-07-29T00:00:00"/>
        <d v="2025-07-30T00:00:00"/>
        <d v="2025-07-31T00:00:00"/>
        <d v="2025-08-01T00:00:00"/>
        <d v="2025-08-04T00:00:00"/>
        <d v="2025-08-05T00:00:00"/>
        <d v="2025-08-06T00:00:00"/>
        <d v="2025-08-07T00:00:00"/>
        <d v="2025-08-08T00:00:00"/>
        <d v="2025-08-11T00:00:00"/>
        <d v="2025-08-12T00:00:00"/>
        <d v="2025-08-13T00:00:00"/>
        <d v="2025-08-14T00:00:00"/>
        <d v="2025-08-15T00:00:00"/>
        <d v="2025-08-18T00:00:00"/>
        <d v="2025-08-19T00:00:00"/>
        <d v="2025-08-20T00:00:00"/>
        <d v="2025-08-21T00:00:00"/>
        <d v="2025-08-22T00:00:00"/>
        <d v="2025-08-25T00:00:00"/>
      </sharedItems>
      <fieldGroup par="8"/>
    </cacheField>
    <cacheField name="Close/Last" numFmtId="8">
      <sharedItems containsSemiMixedTypes="0" containsString="0" containsNumber="1" minValue="19.05" maxValue="34.25"/>
    </cacheField>
    <cacheField name="Volume" numFmtId="0">
      <sharedItems containsSemiMixedTypes="0" containsString="0" containsNumber="1" containsInteger="1" minValue="125214" maxValue="15493660"/>
    </cacheField>
    <cacheField name="Open" numFmtId="8">
      <sharedItems containsSemiMixedTypes="0" containsString="0" containsNumber="1" minValue="19.2" maxValue="34.54"/>
    </cacheField>
    <cacheField name="Variacion" numFmtId="0">
      <sharedItems containsSemiMixedTypes="0" containsString="0" containsNumber="1" minValue="-0.12499999999999989" maxValue="0.13804303694681286"/>
    </cacheField>
    <cacheField name="Cuenta financiera" numFmtId="8">
      <sharedItems containsSemiMixedTypes="0" containsString="0" containsNumber="1" minValue="2718395.94" maxValue="295154223"/>
    </cacheField>
    <cacheField name="Meses (Date)" numFmtId="0" databaseField="0">
      <fieldGroup base="0">
        <rangePr groupBy="months" startDate="2024-02-09T00:00:00" endDate="2025-08-26T00:00:00"/>
        <groupItems count="14">
          <s v="&lt;09/02/2024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26/08/2025"/>
        </groupItems>
      </fieldGroup>
    </cacheField>
    <cacheField name="Trimestres (Date)" numFmtId="0" databaseField="0">
      <fieldGroup base="0">
        <rangePr groupBy="quarters" startDate="2024-02-09T00:00:00" endDate="2025-08-26T00:00:00"/>
        <groupItems count="6">
          <s v="&lt;09/02/2024"/>
          <s v="Trim.1"/>
          <s v="Trim.2"/>
          <s v="Trim.3"/>
          <s v="Trim.4"/>
          <s v="&gt;26/08/2025"/>
        </groupItems>
      </fieldGroup>
    </cacheField>
    <cacheField name="Años (Date)" numFmtId="0" databaseField="0">
      <fieldGroup base="0">
        <rangePr groupBy="years" startDate="2024-02-09T00:00:00" endDate="2025-08-26T00:00:00"/>
        <groupItems count="4">
          <s v="&lt;09/02/2024"/>
          <s v="2024"/>
          <s v="2025"/>
          <s v="&gt;26/08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6">
  <r>
    <x v="0"/>
    <n v="19.05"/>
    <n v="15493660"/>
    <n v="19.5"/>
    <n v="0"/>
    <n v="295154223"/>
  </r>
  <r>
    <x v="1"/>
    <n v="19.55"/>
    <n v="2504738"/>
    <n v="19.2"/>
    <n v="2.6246719160105014E-2"/>
    <n v="48967627.899999999"/>
  </r>
  <r>
    <x v="2"/>
    <n v="20.6"/>
    <n v="2108051"/>
    <n v="19.899999999999999"/>
    <n v="5.3708439897698135E-2"/>
    <n v="43425850.600000001"/>
  </r>
  <r>
    <x v="3"/>
    <n v="21.3"/>
    <n v="1688173"/>
    <n v="20.6"/>
    <n v="3.398058252427183E-2"/>
    <n v="35958084.899999999"/>
  </r>
  <r>
    <x v="4"/>
    <n v="20.43"/>
    <n v="1155805"/>
    <n v="21.01"/>
    <n v="-4.0845070422535268E-2"/>
    <n v="23613096.149999999"/>
  </r>
  <r>
    <x v="5"/>
    <n v="20.21"/>
    <n v="361183"/>
    <n v="20.21"/>
    <n v="-1.076847772883005E-2"/>
    <n v="7299508.4300000006"/>
  </r>
  <r>
    <x v="6"/>
    <n v="20.74"/>
    <n v="475381"/>
    <n v="20.56"/>
    <n v="2.6224641266699544E-2"/>
    <n v="9859401.9399999995"/>
  </r>
  <r>
    <x v="7"/>
    <n v="20.09"/>
    <n v="182350"/>
    <n v="21.02"/>
    <n v="-3.1340405014464778E-2"/>
    <n v="3663411.5"/>
  </r>
  <r>
    <x v="8"/>
    <n v="20.79"/>
    <n v="927479"/>
    <n v="20.25"/>
    <n v="3.4843205574912828E-2"/>
    <n v="19282288.41"/>
  </r>
  <r>
    <x v="9"/>
    <n v="20.87"/>
    <n v="713528"/>
    <n v="20.87"/>
    <n v="3.8480038480039891E-3"/>
    <n v="14891329.360000001"/>
  </r>
  <r>
    <x v="10"/>
    <n v="20.69"/>
    <n v="477562"/>
    <n v="20.46"/>
    <n v="-8.6248203162433423E-3"/>
    <n v="9880757.7800000012"/>
  </r>
  <r>
    <x v="11"/>
    <n v="20.190000000000001"/>
    <n v="604360"/>
    <n v="20.93"/>
    <n v="-2.4166263895601725E-2"/>
    <n v="12202028.4"/>
  </r>
  <r>
    <x v="12"/>
    <n v="20.9"/>
    <n v="360535"/>
    <n v="20.2"/>
    <n v="3.5165923724616022E-2"/>
    <n v="7535181.4999999991"/>
  </r>
  <r>
    <x v="13"/>
    <n v="20.99"/>
    <n v="274300"/>
    <n v="20.77"/>
    <n v="4.3062200956938135E-3"/>
    <n v="5757557"/>
  </r>
  <r>
    <x v="14"/>
    <n v="21.28"/>
    <n v="278936"/>
    <n v="20.65"/>
    <n v="1.3816102906145877E-2"/>
    <n v="5935758.0800000001"/>
  </r>
  <r>
    <x v="15"/>
    <n v="21.27"/>
    <n v="261671"/>
    <n v="21.49"/>
    <n v="-4.6992481203012026E-4"/>
    <n v="5565742.1699999999"/>
  </r>
  <r>
    <x v="16"/>
    <n v="20.92"/>
    <n v="810122"/>
    <n v="20.88"/>
    <n v="-1.6455101081335077E-2"/>
    <n v="16947752.240000002"/>
  </r>
  <r>
    <x v="17"/>
    <n v="21.78"/>
    <n v="850558"/>
    <n v="21.48"/>
    <n v="4.1108986615678855E-2"/>
    <n v="18525153.240000002"/>
  </r>
  <r>
    <x v="18"/>
    <n v="21"/>
    <n v="985549"/>
    <n v="21.77"/>
    <n v="-3.5812672176308569E-2"/>
    <n v="20696529"/>
  </r>
  <r>
    <x v="19"/>
    <n v="20.97"/>
    <n v="582080"/>
    <n v="21"/>
    <n v="-1.4285714285714457E-3"/>
    <n v="12206217.6"/>
  </r>
  <r>
    <x v="20"/>
    <n v="21.26"/>
    <n v="226837"/>
    <n v="20.9"/>
    <n v="1.3829279923700755E-2"/>
    <n v="4822554.62"/>
  </r>
  <r>
    <x v="21"/>
    <n v="21.18"/>
    <n v="189810"/>
    <n v="21.52"/>
    <n v="-3.7629350893697566E-3"/>
    <n v="4020175.8"/>
  </r>
  <r>
    <x v="22"/>
    <n v="22.02"/>
    <n v="516824"/>
    <n v="21.2"/>
    <n v="3.966005665722383E-2"/>
    <n v="11380464.48"/>
  </r>
  <r>
    <x v="23"/>
    <n v="21.76"/>
    <n v="392599"/>
    <n v="22.02"/>
    <n v="-1.1807447774750179E-2"/>
    <n v="8542954.2400000002"/>
  </r>
  <r>
    <x v="24"/>
    <n v="21.71"/>
    <n v="125214"/>
    <n v="21.72"/>
    <n v="-2.2977941176470784E-3"/>
    <n v="2718395.94"/>
  </r>
  <r>
    <x v="25"/>
    <n v="21.92"/>
    <n v="245232"/>
    <n v="21.67"/>
    <n v="9.6729617687700831E-3"/>
    <n v="5375485.4400000004"/>
  </r>
  <r>
    <x v="26"/>
    <n v="21.68"/>
    <n v="340158"/>
    <n v="21.69"/>
    <n v="-1.0948905109489093E-2"/>
    <n v="7374625.4399999995"/>
  </r>
  <r>
    <x v="27"/>
    <n v="22.2"/>
    <n v="386787"/>
    <n v="21.64"/>
    <n v="2.3985239852398532E-2"/>
    <n v="8586671.4000000004"/>
  </r>
  <r>
    <x v="28"/>
    <n v="22.8"/>
    <n v="324226"/>
    <n v="22.3"/>
    <n v="2.7027027027027195E-2"/>
    <n v="7392352.7999999998"/>
  </r>
  <r>
    <x v="29"/>
    <n v="23.54"/>
    <n v="886293"/>
    <n v="22.9"/>
    <n v="3.2456140350877183E-2"/>
    <n v="20863337.219999999"/>
  </r>
  <r>
    <x v="30"/>
    <n v="23.81"/>
    <n v="1194225"/>
    <n v="23.79"/>
    <n v="1.1469838572642388E-2"/>
    <n v="28434497.25"/>
  </r>
  <r>
    <x v="31"/>
    <n v="23.74"/>
    <n v="2478234"/>
    <n v="23.76"/>
    <n v="-2.9399412011760218E-3"/>
    <n v="58833275.159999996"/>
  </r>
  <r>
    <x v="32"/>
    <n v="24.5"/>
    <n v="1134139"/>
    <n v="23.96"/>
    <n v="3.2013479359730423E-2"/>
    <n v="27786405.5"/>
  </r>
  <r>
    <x v="33"/>
    <n v="23.78"/>
    <n v="707189"/>
    <n v="24.55"/>
    <n v="-2.9387755102040725E-2"/>
    <n v="16816954.420000002"/>
  </r>
  <r>
    <x v="34"/>
    <n v="22.9"/>
    <n v="2274695"/>
    <n v="23.78"/>
    <n v="-3.7005887300252449E-2"/>
    <n v="52090515.5"/>
  </r>
  <r>
    <x v="35"/>
    <n v="23.29"/>
    <n v="1082672"/>
    <n v="22.76"/>
    <n v="1.7030567685589526E-2"/>
    <n v="25215430.879999999"/>
  </r>
  <r>
    <x v="36"/>
    <n v="23.49"/>
    <n v="1159958"/>
    <n v="23.32"/>
    <n v="8.587376556461912E-3"/>
    <n v="27247413.419999998"/>
  </r>
  <r>
    <x v="37"/>
    <n v="23.39"/>
    <n v="577941"/>
    <n v="23.5"/>
    <n v="-4.2571306939122033E-3"/>
    <n v="13518039.99"/>
  </r>
  <r>
    <x v="38"/>
    <n v="23.26"/>
    <n v="412318"/>
    <n v="23.31"/>
    <n v="-5.5579307396322886E-3"/>
    <n v="9590516.6800000016"/>
  </r>
  <r>
    <x v="39"/>
    <n v="22.99"/>
    <n v="652959"/>
    <n v="23.31"/>
    <n v="-1.1607910576096447E-2"/>
    <n v="15011527.409999998"/>
  </r>
  <r>
    <x v="40"/>
    <n v="21.58"/>
    <n v="1898193"/>
    <n v="22.31"/>
    <n v="-6.1331013484123509E-2"/>
    <n v="40963004.939999998"/>
  </r>
  <r>
    <x v="41"/>
    <n v="20.63"/>
    <n v="784737"/>
    <n v="21.1"/>
    <n v="-4.4022242817423507E-2"/>
    <n v="16189124.309999999"/>
  </r>
  <r>
    <x v="42"/>
    <n v="20.5"/>
    <n v="649607"/>
    <n v="20.6"/>
    <n v="-6.3015026660203644E-3"/>
    <n v="13316943.5"/>
  </r>
  <r>
    <x v="43"/>
    <n v="20.04"/>
    <n v="1183649"/>
    <n v="20.39"/>
    <n v="-2.2439024390243922E-2"/>
    <n v="23720325.959999997"/>
  </r>
  <r>
    <x v="44"/>
    <n v="20"/>
    <n v="676352"/>
    <n v="20.010000000000002"/>
    <n v="-1.9960079840318778E-3"/>
    <n v="13527040"/>
  </r>
  <r>
    <x v="45"/>
    <n v="19.46"/>
    <n v="656260"/>
    <n v="19.850000000000001"/>
    <n v="-2.6999999999999913E-2"/>
    <n v="12770819.600000001"/>
  </r>
  <r>
    <x v="46"/>
    <n v="20.05"/>
    <n v="1060641"/>
    <n v="19.52"/>
    <n v="3.0318602261048211E-2"/>
    <n v="21265852.050000001"/>
  </r>
  <r>
    <x v="47"/>
    <n v="19.8"/>
    <n v="1053547"/>
    <n v="20.170000000000002"/>
    <n v="-1.2468827930174564E-2"/>
    <n v="20860230.600000001"/>
  </r>
  <r>
    <x v="48"/>
    <n v="19.899999999999999"/>
    <n v="834055"/>
    <n v="19.89"/>
    <n v="5.050505050504972E-3"/>
    <n v="16597694.499999998"/>
  </r>
  <r>
    <x v="49"/>
    <n v="20.239999999999998"/>
    <n v="853237"/>
    <n v="19.899999999999999"/>
    <n v="1.7085427135678399E-2"/>
    <n v="17269516.879999999"/>
  </r>
  <r>
    <x v="50"/>
    <n v="20.05"/>
    <n v="765668"/>
    <n v="20.36"/>
    <n v="-9.3873517786560168E-3"/>
    <n v="15351643.4"/>
  </r>
  <r>
    <x v="51"/>
    <n v="20.6"/>
    <n v="1610256"/>
    <n v="20.149999999999999"/>
    <n v="2.7431421446383997E-2"/>
    <n v="33171273.600000001"/>
  </r>
  <r>
    <x v="52"/>
    <n v="20.6"/>
    <n v="851990"/>
    <n v="20.13"/>
    <n v="0"/>
    <n v="17550994"/>
  </r>
  <r>
    <x v="53"/>
    <n v="23.11"/>
    <n v="1734573"/>
    <n v="20.420000000000002"/>
    <n v="0.12184466019417473"/>
    <n v="40085982.030000001"/>
  </r>
  <r>
    <x v="54"/>
    <n v="23.2"/>
    <n v="874366"/>
    <n v="23.25"/>
    <n v="3.8944180008653184E-3"/>
    <n v="20285291.199999999"/>
  </r>
  <r>
    <x v="55"/>
    <n v="22.95"/>
    <n v="1349166"/>
    <n v="23.17"/>
    <n v="-1.0775862068965525E-2"/>
    <n v="30963359.699999999"/>
  </r>
  <r>
    <x v="56"/>
    <n v="22.59"/>
    <n v="745724"/>
    <n v="22.93"/>
    <n v="-1.5686274509803866E-2"/>
    <n v="16845905.16"/>
  </r>
  <r>
    <x v="57"/>
    <n v="23"/>
    <n v="861109"/>
    <n v="22.8"/>
    <n v="1.814962372731288E-2"/>
    <n v="19805507"/>
  </r>
  <r>
    <x v="58"/>
    <n v="24.37"/>
    <n v="1302115"/>
    <n v="23.27"/>
    <n v="5.9565217391304381E-2"/>
    <n v="31732542.550000001"/>
  </r>
  <r>
    <x v="59"/>
    <n v="26.39"/>
    <n v="1201005"/>
    <n v="24.41"/>
    <n v="8.2888797702092676E-2"/>
    <n v="31694521.949999999"/>
  </r>
  <r>
    <x v="60"/>
    <n v="25.56"/>
    <n v="944844"/>
    <n v="26.41"/>
    <n v="-3.1451307313376309E-2"/>
    <n v="24150212.640000001"/>
  </r>
  <r>
    <x v="61"/>
    <n v="25.36"/>
    <n v="999204"/>
    <n v="25.11"/>
    <n v="-7.8247261345852914E-3"/>
    <n v="25339813.439999998"/>
  </r>
  <r>
    <x v="62"/>
    <n v="25.79"/>
    <n v="1072120"/>
    <n v="25.44"/>
    <n v="1.6955835962145116E-2"/>
    <n v="27649974.800000001"/>
  </r>
  <r>
    <x v="63"/>
    <n v="25.33"/>
    <n v="1156762"/>
    <n v="25.85"/>
    <n v="-1.7836370686312608E-2"/>
    <n v="29300781.459999997"/>
  </r>
  <r>
    <x v="64"/>
    <n v="24.99"/>
    <n v="869531"/>
    <n v="25.5"/>
    <n v="-1.3422818791946289E-2"/>
    <n v="21729579.689999998"/>
  </r>
  <r>
    <x v="65"/>
    <n v="24"/>
    <n v="967152"/>
    <n v="25.14"/>
    <n v="-3.9615846338535321E-2"/>
    <n v="23211648"/>
  </r>
  <r>
    <x v="66"/>
    <n v="25.71"/>
    <n v="969169"/>
    <n v="24.09"/>
    <n v="7.1250000000000036E-2"/>
    <n v="24917334.990000002"/>
  </r>
  <r>
    <x v="67"/>
    <n v="25.26"/>
    <n v="852197"/>
    <n v="25.77"/>
    <n v="-1.7502917152858788E-2"/>
    <n v="21526496.220000003"/>
  </r>
  <r>
    <x v="68"/>
    <n v="25.49"/>
    <n v="688991"/>
    <n v="25.45"/>
    <n v="9.1053048297702333E-3"/>
    <n v="17562380.59"/>
  </r>
  <r>
    <x v="69"/>
    <n v="25.08"/>
    <n v="684731"/>
    <n v="25.49"/>
    <n v="-1.6084739113377822E-2"/>
    <n v="17173053.48"/>
  </r>
  <r>
    <x v="70"/>
    <n v="24.67"/>
    <n v="795348"/>
    <n v="25.14"/>
    <n v="-1.6347687400318889E-2"/>
    <n v="19621235.16"/>
  </r>
  <r>
    <x v="71"/>
    <n v="24.63"/>
    <n v="910597"/>
    <n v="24.46"/>
    <n v="-1.6214025131739973E-3"/>
    <n v="22428004.109999999"/>
  </r>
  <r>
    <x v="72"/>
    <n v="28.03"/>
    <n v="2318974"/>
    <n v="26.09"/>
    <n v="0.13804303694681286"/>
    <n v="65000841.220000006"/>
  </r>
  <r>
    <x v="73"/>
    <n v="28.24"/>
    <n v="972707"/>
    <n v="28.05"/>
    <n v="7.4919728861932988E-3"/>
    <n v="27469245.68"/>
  </r>
  <r>
    <x v="74"/>
    <n v="26.8"/>
    <n v="1183181"/>
    <n v="28.61"/>
    <n v="-5.0991501416430496E-2"/>
    <n v="31709250.800000001"/>
  </r>
  <r>
    <x v="75"/>
    <n v="27"/>
    <n v="1158561"/>
    <n v="26.34"/>
    <n v="7.4626865671640896E-3"/>
    <n v="31281147"/>
  </r>
  <r>
    <x v="76"/>
    <n v="27.04"/>
    <n v="1043564"/>
    <n v="27.1"/>
    <n v="1.481481481481417E-3"/>
    <n v="28217970.559999999"/>
  </r>
  <r>
    <x v="77"/>
    <n v="27.24"/>
    <n v="996189"/>
    <n v="27.32"/>
    <n v="7.3964497041418831E-3"/>
    <n v="27136188.359999999"/>
  </r>
  <r>
    <x v="78"/>
    <n v="24.88"/>
    <n v="1506494"/>
    <n v="26.89"/>
    <n v="-8.6637298091042592E-2"/>
    <n v="37481570.719999999"/>
  </r>
  <r>
    <x v="79"/>
    <n v="24.12"/>
    <n v="2016572"/>
    <n v="24.72"/>
    <n v="-3.0546623794212135E-2"/>
    <n v="48639716.640000001"/>
  </r>
  <r>
    <x v="80"/>
    <n v="23.95"/>
    <n v="1367643"/>
    <n v="24.9"/>
    <n v="-7.0480928689884426E-3"/>
    <n v="32755049.849999998"/>
  </r>
  <r>
    <x v="81"/>
    <n v="24.06"/>
    <n v="1452426"/>
    <n v="23.71"/>
    <n v="4.5929018789143683E-3"/>
    <n v="34945369.559999995"/>
  </r>
  <r>
    <x v="82"/>
    <n v="23.06"/>
    <n v="1304987"/>
    <n v="23.75"/>
    <n v="-4.1562759767248547E-2"/>
    <n v="30093000.219999999"/>
  </r>
  <r>
    <x v="83"/>
    <n v="23.02"/>
    <n v="431748"/>
    <n v="23.06"/>
    <n v="-1.7346053772766545E-3"/>
    <n v="9938838.959999999"/>
  </r>
  <r>
    <x v="84"/>
    <n v="23.01"/>
    <n v="291280"/>
    <n v="23.09"/>
    <n v="-4.3440486533441458E-4"/>
    <n v="6702352.8000000007"/>
  </r>
  <r>
    <x v="85"/>
    <n v="22.99"/>
    <n v="625835"/>
    <n v="23.21"/>
    <n v="-8.691873098654046E-4"/>
    <n v="14387946.649999999"/>
  </r>
  <r>
    <x v="86"/>
    <n v="22.81"/>
    <n v="504212"/>
    <n v="23.04"/>
    <n v="-7.8294910830796205E-3"/>
    <n v="11501075.719999999"/>
  </r>
  <r>
    <x v="87"/>
    <n v="22.08"/>
    <n v="711329"/>
    <n v="22.62"/>
    <n v="-3.2003507233669515E-2"/>
    <n v="15706144.319999998"/>
  </r>
  <r>
    <x v="88"/>
    <n v="21.58"/>
    <n v="662958"/>
    <n v="22.05"/>
    <n v="-2.2644927536231929E-2"/>
    <n v="14306633.639999999"/>
  </r>
  <r>
    <x v="89"/>
    <n v="21.96"/>
    <n v="690375"/>
    <n v="21.5"/>
    <n v="1.7608897126969447E-2"/>
    <n v="15160635"/>
  </r>
  <r>
    <x v="90"/>
    <n v="22.14"/>
    <n v="1117829"/>
    <n v="21.95"/>
    <n v="8.1967213114753079E-3"/>
    <n v="24748734.060000002"/>
  </r>
  <r>
    <x v="91"/>
    <n v="23.41"/>
    <n v="1675434"/>
    <n v="22.24"/>
    <n v="5.7362240289069444E-2"/>
    <n v="39221909.939999998"/>
  </r>
  <r>
    <x v="92"/>
    <n v="22.74"/>
    <n v="649994"/>
    <n v="23.5"/>
    <n v="-2.8620247757368711E-2"/>
    <n v="14780863.559999999"/>
  </r>
  <r>
    <x v="93"/>
    <n v="23.17"/>
    <n v="1003381"/>
    <n v="22.65"/>
    <n v="1.8909410729991416E-2"/>
    <n v="23248337.770000003"/>
  </r>
  <r>
    <x v="94"/>
    <n v="23.03"/>
    <n v="795392"/>
    <n v="23.03"/>
    <n v="-6.0422960725076136E-3"/>
    <n v="18317877.760000002"/>
  </r>
  <r>
    <x v="95"/>
    <n v="23.97"/>
    <n v="1611603"/>
    <n v="22.76"/>
    <n v="4.0816326530612068E-2"/>
    <n v="38630123.909999996"/>
  </r>
  <r>
    <x v="96"/>
    <n v="23.86"/>
    <n v="1674776"/>
    <n v="24.01"/>
    <n v="-4.5890696704213862E-3"/>
    <n v="39960155.359999999"/>
  </r>
  <r>
    <x v="97"/>
    <n v="23.5"/>
    <n v="1537275"/>
    <n v="23.67"/>
    <n v="-1.5088013411567402E-2"/>
    <n v="36125962.5"/>
  </r>
  <r>
    <x v="98"/>
    <n v="23.54"/>
    <n v="695987"/>
    <n v="23.53"/>
    <n v="1.7021276595743373E-3"/>
    <n v="16383533.979999999"/>
  </r>
  <r>
    <x v="99"/>
    <n v="23.35"/>
    <n v="412010"/>
    <n v="23.63"/>
    <n v="-8.0713678844519521E-3"/>
    <n v="9620433.5"/>
  </r>
  <r>
    <x v="100"/>
    <n v="23.72"/>
    <n v="473570"/>
    <n v="23.83"/>
    <n v="1.5845824411134801E-2"/>
    <n v="11233080.4"/>
  </r>
  <r>
    <x v="101"/>
    <n v="24.49"/>
    <n v="586086"/>
    <n v="23.87"/>
    <n v="3.2462057335581829E-2"/>
    <n v="14353246.139999999"/>
  </r>
  <r>
    <x v="102"/>
    <n v="24.34"/>
    <n v="533046"/>
    <n v="24.49"/>
    <n v="-6.1249489587585915E-3"/>
    <n v="12974339.640000001"/>
  </r>
  <r>
    <x v="103"/>
    <n v="23.77"/>
    <n v="695898"/>
    <n v="24.8"/>
    <n v="-2.3418241577649934E-2"/>
    <n v="16541495.459999999"/>
  </r>
  <r>
    <x v="104"/>
    <n v="24.95"/>
    <n v="668918"/>
    <n v="23.94"/>
    <n v="4.9642406394615035E-2"/>
    <n v="16689504.1"/>
  </r>
  <r>
    <x v="105"/>
    <n v="25.37"/>
    <n v="303720"/>
    <n v="24.98"/>
    <n v="1.68336673346694E-2"/>
    <n v="7705376.4000000004"/>
  </r>
  <r>
    <x v="106"/>
    <n v="25.05"/>
    <n v="234996"/>
    <n v="25.21"/>
    <n v="-1.2613322822231043E-2"/>
    <n v="5886649.7999999998"/>
  </r>
  <r>
    <x v="107"/>
    <n v="25.55"/>
    <n v="354005"/>
    <n v="25.3"/>
    <n v="1.9960079840319445E-2"/>
    <n v="9044827.75"/>
  </r>
  <r>
    <x v="108"/>
    <n v="26.32"/>
    <n v="960037"/>
    <n v="25.25"/>
    <n v="3.013698630136985E-2"/>
    <n v="25268173.84"/>
  </r>
  <r>
    <x v="109"/>
    <n v="25.99"/>
    <n v="804433"/>
    <n v="26.18"/>
    <n v="-1.2537993920972768E-2"/>
    <n v="20907213.669999998"/>
  </r>
  <r>
    <x v="110"/>
    <n v="26.01"/>
    <n v="434360"/>
    <n v="26"/>
    <n v="7.6952674105434937E-4"/>
    <n v="11297703.600000001"/>
  </r>
  <r>
    <x v="111"/>
    <n v="26.35"/>
    <n v="476612"/>
    <n v="26.23"/>
    <n v="1.3071895424836555E-2"/>
    <n v="12558726.200000001"/>
  </r>
  <r>
    <x v="112"/>
    <n v="26.06"/>
    <n v="361556"/>
    <n v="26.31"/>
    <n v="-1.1005692599620587E-2"/>
    <n v="9422149.3599999994"/>
  </r>
  <r>
    <x v="113"/>
    <n v="25.65"/>
    <n v="1058231"/>
    <n v="26.14"/>
    <n v="-1.5732924021488848E-2"/>
    <n v="27143625.149999999"/>
  </r>
  <r>
    <x v="114"/>
    <n v="26.15"/>
    <n v="580835"/>
    <n v="25.65"/>
    <n v="1.949317738791434E-2"/>
    <n v="15188835.25"/>
  </r>
  <r>
    <x v="115"/>
    <n v="26.9"/>
    <n v="781371"/>
    <n v="26.39"/>
    <n v="2.8680688336520044E-2"/>
    <n v="21018879.899999999"/>
  </r>
  <r>
    <x v="116"/>
    <n v="26.69"/>
    <n v="238526"/>
    <n v="26.94"/>
    <n v="-7.8066914498140516E-3"/>
    <n v="6366258.9400000004"/>
  </r>
  <r>
    <x v="117"/>
    <n v="26.96"/>
    <n v="468851"/>
    <n v="26.68"/>
    <n v="1.0116148370176159E-2"/>
    <n v="12640222.960000001"/>
  </r>
  <r>
    <x v="118"/>
    <n v="27.15"/>
    <n v="594344"/>
    <n v="26.92"/>
    <n v="7.0474777448070736E-3"/>
    <n v="16136439.6"/>
  </r>
  <r>
    <x v="119"/>
    <n v="27.05"/>
    <n v="344125"/>
    <n v="27.32"/>
    <n v="-3.6832412523019054E-3"/>
    <n v="9308581.25"/>
  </r>
  <r>
    <x v="120"/>
    <n v="25.65"/>
    <n v="540658"/>
    <n v="26.51"/>
    <n v="-5.1756007393715442E-2"/>
    <n v="13867877.699999999"/>
  </r>
  <r>
    <x v="121"/>
    <n v="24.58"/>
    <n v="696287"/>
    <n v="24.324999999999999"/>
    <n v="-4.1715399610136483E-2"/>
    <n v="17114734.459999997"/>
  </r>
  <r>
    <x v="122"/>
    <n v="24.91"/>
    <n v="556925"/>
    <n v="24.65"/>
    <n v="1.3425549227013889E-2"/>
    <n v="13873001.75"/>
  </r>
  <r>
    <x v="123"/>
    <n v="26.12"/>
    <n v="690362"/>
    <n v="25.1"/>
    <n v="4.8574869530309206E-2"/>
    <n v="18032255.440000001"/>
  </r>
  <r>
    <x v="124"/>
    <n v="27.01"/>
    <n v="397689"/>
    <n v="26.06"/>
    <n v="3.4073506891270977E-2"/>
    <n v="10741579.890000001"/>
  </r>
  <r>
    <x v="125"/>
    <n v="27.03"/>
    <n v="393733"/>
    <n v="26.79"/>
    <n v="7.4046649389103436E-4"/>
    <n v="10642602.99"/>
  </r>
  <r>
    <x v="126"/>
    <n v="27.06"/>
    <n v="204554"/>
    <n v="26.88"/>
    <n v="1.1098779134295356E-3"/>
    <n v="5535231.2399999993"/>
  </r>
  <r>
    <x v="127"/>
    <n v="27.41"/>
    <n v="210690"/>
    <n v="27.36"/>
    <n v="1.2934220251293427E-2"/>
    <n v="5775012.9000000004"/>
  </r>
  <r>
    <x v="128"/>
    <n v="28"/>
    <n v="275614"/>
    <n v="27.55"/>
    <n v="2.1524990879241201E-2"/>
    <n v="7717192"/>
  </r>
  <r>
    <x v="129"/>
    <n v="28.43"/>
    <n v="347339"/>
    <n v="28.41"/>
    <n v="1.5357142857142847E-2"/>
    <n v="9874847.7699999996"/>
  </r>
  <r>
    <x v="130"/>
    <n v="28.65"/>
    <n v="255916"/>
    <n v="28.36"/>
    <n v="7.7383046078085549E-3"/>
    <n v="7331993.3999999994"/>
  </r>
  <r>
    <x v="131"/>
    <n v="29.19"/>
    <n v="397290"/>
    <n v="28.62"/>
    <n v="1.8848167539267102E-2"/>
    <n v="11596895.1"/>
  </r>
  <r>
    <x v="132"/>
    <n v="27.49"/>
    <n v="660276"/>
    <n v="29.21"/>
    <n v="-5.8239122987324476E-2"/>
    <n v="18150987.239999998"/>
  </r>
  <r>
    <x v="133"/>
    <n v="28.56"/>
    <n v="637198"/>
    <n v="27.8"/>
    <n v="3.8923244816296831E-2"/>
    <n v="18198374.879999999"/>
  </r>
  <r>
    <x v="134"/>
    <n v="29.83"/>
    <n v="1223278"/>
    <n v="28.7"/>
    <n v="4.4467787114846002E-2"/>
    <n v="36490382.739999995"/>
  </r>
  <r>
    <x v="135"/>
    <n v="32.68"/>
    <n v="1325477"/>
    <n v="30.67"/>
    <n v="9.5541401273885329E-2"/>
    <n v="43316588.359999999"/>
  </r>
  <r>
    <x v="136"/>
    <n v="32.35"/>
    <n v="514945"/>
    <n v="32.78"/>
    <n v="-1.0097919216646267E-2"/>
    <n v="16658470.75"/>
  </r>
  <r>
    <x v="137"/>
    <n v="33"/>
    <n v="488235"/>
    <n v="32.35"/>
    <n v="2.0092735703245657E-2"/>
    <n v="16111755"/>
  </r>
  <r>
    <x v="138"/>
    <n v="31.97"/>
    <n v="899412"/>
    <n v="32.9"/>
    <n v="-3.1212121212121247E-2"/>
    <n v="28754201.640000001"/>
  </r>
  <r>
    <x v="139"/>
    <n v="31.93"/>
    <n v="376085"/>
    <n v="32.04"/>
    <n v="-1.2511729746637057E-3"/>
    <n v="12008394.050000001"/>
  </r>
  <r>
    <x v="140"/>
    <n v="31.78"/>
    <n v="316563"/>
    <n v="31.93"/>
    <n v="-4.6977763858440102E-3"/>
    <n v="10060372.140000001"/>
  </r>
  <r>
    <x v="141"/>
    <n v="29.92"/>
    <n v="452034"/>
    <n v="31.15"/>
    <n v="-5.852737570799238E-2"/>
    <n v="13524857.280000001"/>
  </r>
  <r>
    <x v="142"/>
    <n v="29.57"/>
    <n v="1244585"/>
    <n v="29.44"/>
    <n v="-1.1697860962566864E-2"/>
    <n v="36802378.450000003"/>
  </r>
  <r>
    <x v="143"/>
    <n v="29.36"/>
    <n v="688015"/>
    <n v="29.49"/>
    <n v="-7.1017923571187191E-3"/>
    <n v="20200120.399999999"/>
  </r>
  <r>
    <x v="144"/>
    <n v="28.66"/>
    <n v="916429"/>
    <n v="29.46"/>
    <n v="-2.3841961852861027E-2"/>
    <n v="26264855.140000001"/>
  </r>
  <r>
    <x v="145"/>
    <n v="28.98"/>
    <n v="1275922"/>
    <n v="28.75"/>
    <n v="1.1165387299371998E-2"/>
    <n v="36976219.560000002"/>
  </r>
  <r>
    <x v="146"/>
    <n v="28.2"/>
    <n v="1050314"/>
    <n v="29.18"/>
    <n v="-2.6915113871635699E-2"/>
    <n v="29618854.800000001"/>
  </r>
  <r>
    <x v="147"/>
    <n v="29.1"/>
    <n v="459209"/>
    <n v="28.07"/>
    <n v="3.1914893617021267E-2"/>
    <n v="13362981.9"/>
  </r>
  <r>
    <x v="148"/>
    <n v="30.03"/>
    <n v="826962"/>
    <n v="29.36"/>
    <n v="3.1958762886597825E-2"/>
    <n v="24833668.859999999"/>
  </r>
  <r>
    <x v="149"/>
    <n v="30.68"/>
    <n v="903475"/>
    <n v="29.96"/>
    <n v="2.1645021645021689E-2"/>
    <n v="27718613"/>
  </r>
  <r>
    <x v="150"/>
    <n v="31.28"/>
    <n v="510113"/>
    <n v="30.66"/>
    <n v="1.9556714471968828E-2"/>
    <n v="15956334.640000001"/>
  </r>
  <r>
    <x v="151"/>
    <n v="30.51"/>
    <n v="379420"/>
    <n v="31.5"/>
    <n v="-2.4616368286444978E-2"/>
    <n v="11576104.200000001"/>
  </r>
  <r>
    <x v="152"/>
    <n v="30.47"/>
    <n v="461656"/>
    <n v="30.51"/>
    <n v="-1.3110455588332126E-3"/>
    <n v="14066658.32"/>
  </r>
  <r>
    <x v="153"/>
    <n v="32.51"/>
    <n v="896132"/>
    <n v="31.11"/>
    <n v="6.6951099442074113E-2"/>
    <n v="29133251.319999997"/>
  </r>
  <r>
    <x v="154"/>
    <n v="31.37"/>
    <n v="618246"/>
    <n v="32.42"/>
    <n v="-3.5066133497385299E-2"/>
    <n v="19394377.02"/>
  </r>
  <r>
    <x v="155"/>
    <n v="31.64"/>
    <n v="359440"/>
    <n v="31.35"/>
    <n v="8.6069493146319065E-3"/>
    <n v="11372681.6"/>
  </r>
  <r>
    <x v="156"/>
    <n v="31.31"/>
    <n v="381353"/>
    <n v="31.65"/>
    <n v="-1.0429835651074693E-2"/>
    <n v="11940162.43"/>
  </r>
  <r>
    <x v="157"/>
    <n v="31.55"/>
    <n v="792095"/>
    <n v="31.4"/>
    <n v="7.6652826572980448E-3"/>
    <n v="24990597.25"/>
  </r>
  <r>
    <x v="158"/>
    <n v="29.9"/>
    <n v="1312107"/>
    <n v="31.74"/>
    <n v="-5.229793977813002E-2"/>
    <n v="39231999.299999997"/>
  </r>
  <r>
    <x v="159"/>
    <n v="30"/>
    <n v="512135"/>
    <n v="29.85"/>
    <n v="3.3444816053511683E-3"/>
    <n v="15364050"/>
  </r>
  <r>
    <x v="160"/>
    <n v="30"/>
    <n v="500828"/>
    <n v="29.64"/>
    <n v="0"/>
    <n v="15024840"/>
  </r>
  <r>
    <x v="161"/>
    <n v="30.03"/>
    <n v="269574"/>
    <n v="30.07"/>
    <n v="1.0000000000001119E-3"/>
    <n v="8095307.2200000007"/>
  </r>
  <r>
    <x v="162"/>
    <n v="29.75"/>
    <n v="550755"/>
    <n v="29.85"/>
    <n v="-9.3240093240093413E-3"/>
    <n v="16384961.25"/>
  </r>
  <r>
    <x v="163"/>
    <n v="29.93"/>
    <n v="310188"/>
    <n v="29.86"/>
    <n v="6.0504201680671166E-3"/>
    <n v="9283926.8399999999"/>
  </r>
  <r>
    <x v="164"/>
    <n v="30.73"/>
    <n v="716583"/>
    <n v="30.4"/>
    <n v="2.6729034413631725E-2"/>
    <n v="22020595.59"/>
  </r>
  <r>
    <x v="165"/>
    <n v="30.63"/>
    <n v="846895"/>
    <n v="30.75"/>
    <n v="-3.2541490400260775E-3"/>
    <n v="25940393.849999998"/>
  </r>
  <r>
    <x v="166"/>
    <n v="31.33"/>
    <n v="668607"/>
    <n v="30.57"/>
    <n v="2.285341168788757E-2"/>
    <n v="20947457.309999999"/>
  </r>
  <r>
    <x v="167"/>
    <n v="31"/>
    <n v="346459"/>
    <n v="31.46"/>
    <n v="-1.0533035429300952E-2"/>
    <n v="10740229"/>
  </r>
  <r>
    <x v="168"/>
    <n v="31.97"/>
    <n v="582840"/>
    <n v="30.75"/>
    <n v="3.1290322580645125E-2"/>
    <n v="18633394.800000001"/>
  </r>
  <r>
    <x v="169"/>
    <n v="32.840000000000003"/>
    <n v="1030391"/>
    <n v="32.04"/>
    <n v="2.7213012198936681E-2"/>
    <n v="33838040.440000005"/>
  </r>
  <r>
    <x v="170"/>
    <n v="31.74"/>
    <n v="379043"/>
    <n v="32.89"/>
    <n v="-3.3495736906212104E-2"/>
    <n v="12030824.82"/>
  </r>
  <r>
    <x v="171"/>
    <n v="33.22"/>
    <n v="843945"/>
    <n v="31.79"/>
    <n v="4.6628859483301754E-2"/>
    <n v="28035852.899999999"/>
  </r>
  <r>
    <x v="172"/>
    <n v="33.090000000000003"/>
    <n v="486574"/>
    <n v="33.774999999999999"/>
    <n v="-3.9133052378084177E-3"/>
    <n v="16100733.660000002"/>
  </r>
  <r>
    <x v="173"/>
    <n v="33.119999999999997"/>
    <n v="658288"/>
    <n v="33"/>
    <n v="9.0661831368965551E-4"/>
    <n v="21802498.559999999"/>
  </r>
  <r>
    <x v="174"/>
    <n v="33.22"/>
    <n v="812816"/>
    <n v="33.31"/>
    <n v="3.019323671497709E-3"/>
    <n v="27001747.52"/>
  </r>
  <r>
    <x v="175"/>
    <n v="33.119999999999997"/>
    <n v="566884"/>
    <n v="33.26"/>
    <n v="-3.0102347983143041E-3"/>
    <n v="18775198.079999998"/>
  </r>
  <r>
    <x v="176"/>
    <n v="33.4"/>
    <n v="373330"/>
    <n v="32.659999999999997"/>
    <n v="8.4541062801932743E-3"/>
    <n v="12469222"/>
  </r>
  <r>
    <x v="177"/>
    <n v="32.36"/>
    <n v="732319"/>
    <n v="33.08"/>
    <n v="-3.1137724550898138E-2"/>
    <n v="23697842.84"/>
  </r>
  <r>
    <x v="178"/>
    <n v="33.22"/>
    <n v="785165"/>
    <n v="32.57"/>
    <n v="2.6576019777503124E-2"/>
    <n v="26083181.300000001"/>
  </r>
  <r>
    <x v="179"/>
    <n v="34.25"/>
    <n v="743372"/>
    <n v="33.340000000000003"/>
    <n v="3.1005418422636932E-2"/>
    <n v="25460491"/>
  </r>
  <r>
    <x v="180"/>
    <n v="34.22"/>
    <n v="477816"/>
    <n v="34.51"/>
    <n v="-8.7591240875917187E-4"/>
    <n v="16350863.52"/>
  </r>
  <r>
    <x v="181"/>
    <n v="32.86"/>
    <n v="701043"/>
    <n v="34.06"/>
    <n v="-3.9742840444184635E-2"/>
    <n v="23036272.98"/>
  </r>
  <r>
    <x v="182"/>
    <n v="32"/>
    <n v="852821"/>
    <n v="32.700000000000003"/>
    <n v="-2.6171637248934898E-2"/>
    <n v="27290272"/>
  </r>
  <r>
    <x v="183"/>
    <n v="31.94"/>
    <n v="1088242"/>
    <n v="32.090000000000003"/>
    <n v="-1.87499999999996E-3"/>
    <n v="34758449.480000004"/>
  </r>
  <r>
    <x v="184"/>
    <n v="31.82"/>
    <n v="750546"/>
    <n v="32.08"/>
    <n v="-3.7570444583594487E-3"/>
    <n v="23882373.719999999"/>
  </r>
  <r>
    <x v="185"/>
    <n v="32"/>
    <n v="590380"/>
    <n v="31.82"/>
    <n v="5.6568196103079504E-3"/>
    <n v="18892160"/>
  </r>
  <r>
    <x v="186"/>
    <n v="32.200000000000003"/>
    <n v="529419"/>
    <n v="32.07"/>
    <n v="6.2500000000000888E-3"/>
    <n v="17047291.800000001"/>
  </r>
  <r>
    <x v="187"/>
    <n v="31.93"/>
    <n v="1239394"/>
    <n v="31.98"/>
    <n v="-8.3850931677019735E-3"/>
    <n v="39573850.420000002"/>
  </r>
  <r>
    <x v="188"/>
    <n v="32.56"/>
    <n v="634285"/>
    <n v="32.4"/>
    <n v="1.9730660820544976E-2"/>
    <n v="20652319.600000001"/>
  </r>
  <r>
    <x v="189"/>
    <n v="33.39"/>
    <n v="482323"/>
    <n v="32.58"/>
    <n v="2.5491400491400418E-2"/>
    <n v="16104764.970000001"/>
  </r>
  <r>
    <x v="190"/>
    <n v="33.29"/>
    <n v="585909"/>
    <n v="33.69"/>
    <n v="-2.994908655286066E-3"/>
    <n v="19504910.609999999"/>
  </r>
  <r>
    <x v="191"/>
    <n v="32.89"/>
    <n v="729932"/>
    <n v="33.1"/>
    <n v="-1.2015620306398245E-2"/>
    <n v="24007463.48"/>
  </r>
  <r>
    <x v="192"/>
    <n v="32.96"/>
    <n v="520238"/>
    <n v="33.049999999999997"/>
    <n v="2.128306476132602E-3"/>
    <n v="17147044.48"/>
  </r>
  <r>
    <x v="193"/>
    <n v="31.91"/>
    <n v="450455"/>
    <n v="32.94"/>
    <n v="-3.1856796116504826E-2"/>
    <n v="14374019.050000001"/>
  </r>
  <r>
    <x v="194"/>
    <n v="32.18"/>
    <n v="216074"/>
    <n v="31.91"/>
    <n v="8.4612973989344198E-3"/>
    <n v="6953261.3200000003"/>
  </r>
  <r>
    <x v="195"/>
    <n v="32.11"/>
    <n v="781322"/>
    <n v="32.11"/>
    <n v="-2.1752641392168703E-3"/>
    <n v="25088249.419999998"/>
  </r>
  <r>
    <x v="196"/>
    <n v="32.729999999999997"/>
    <n v="695139"/>
    <n v="31.59"/>
    <n v="1.9308626596076017E-2"/>
    <n v="22751899.469999999"/>
  </r>
  <r>
    <x v="197"/>
    <n v="32.78"/>
    <n v="436654"/>
    <n v="32.78"/>
    <n v="1.5276504735717289E-3"/>
    <n v="14313518.120000001"/>
  </r>
  <r>
    <x v="198"/>
    <n v="33.4"/>
    <n v="671194"/>
    <n v="32.840000000000003"/>
    <n v="1.8913971934106044E-2"/>
    <n v="22417879.599999998"/>
  </r>
  <r>
    <x v="199"/>
    <n v="34.07"/>
    <n v="762846"/>
    <n v="33.69"/>
    <n v="2.00598802395211E-2"/>
    <n v="25990163.219999999"/>
  </r>
  <r>
    <x v="200"/>
    <n v="34.159999999999997"/>
    <n v="884230"/>
    <n v="34.54"/>
    <n v="2.6416201937187189E-3"/>
    <n v="30205296.799999997"/>
  </r>
  <r>
    <x v="201"/>
    <n v="29.89"/>
    <n v="2052072"/>
    <n v="32.14"/>
    <n v="-0.12499999999999989"/>
    <n v="61336432.079999998"/>
  </r>
  <r>
    <x v="202"/>
    <n v="28.22"/>
    <n v="1167199"/>
    <n v="29.76"/>
    <n v="-5.5871528939444692E-2"/>
    <n v="32938355.779999997"/>
  </r>
  <r>
    <x v="203"/>
    <n v="28.22"/>
    <n v="698190"/>
    <n v="28.6"/>
    <n v="0"/>
    <n v="19702921.800000001"/>
  </r>
  <r>
    <x v="204"/>
    <n v="27.84"/>
    <n v="913457"/>
    <n v="28.01"/>
    <n v="-1.3465627214741316E-2"/>
    <n v="25430642.879999999"/>
  </r>
  <r>
    <x v="205"/>
    <n v="28.58"/>
    <n v="738283"/>
    <n v="27.67"/>
    <n v="2.6580459770114917E-2"/>
    <n v="21100128.140000001"/>
  </r>
  <r>
    <x v="206"/>
    <n v="28.1"/>
    <n v="714213"/>
    <n v="28.26"/>
    <n v="-1.6794961511546469E-2"/>
    <n v="20069385.300000001"/>
  </r>
  <r>
    <x v="207"/>
    <n v="28.72"/>
    <n v="771291"/>
    <n v="28.43"/>
    <n v="2.2064056939501642E-2"/>
    <n v="22151477.52"/>
  </r>
  <r>
    <x v="208"/>
    <n v="30"/>
    <n v="1468721"/>
    <n v="28.9"/>
    <n v="4.4568245125348183E-2"/>
    <n v="44061630"/>
  </r>
  <r>
    <x v="209"/>
    <n v="29.44"/>
    <n v="1003216"/>
    <n v="29.98"/>
    <n v="-1.8666666666666609E-2"/>
    <n v="29534679.040000003"/>
  </r>
  <r>
    <x v="210"/>
    <n v="29.09"/>
    <n v="896652"/>
    <n v="29.48"/>
    <n v="-1.188858695652184E-2"/>
    <n v="26083606.68"/>
  </r>
  <r>
    <x v="211"/>
    <n v="29.92"/>
    <n v="759278"/>
    <n v="29.23"/>
    <n v="2.8532141629425967E-2"/>
    <n v="22717597.760000002"/>
  </r>
  <r>
    <x v="212"/>
    <n v="29.26"/>
    <n v="422044"/>
    <n v="29.68"/>
    <n v="-2.2058823529411797E-2"/>
    <n v="12349007.440000001"/>
  </r>
  <r>
    <x v="213"/>
    <n v="28.73"/>
    <n v="658900"/>
    <n v="29.44"/>
    <n v="-1.8113465481886526E-2"/>
    <n v="18930197"/>
  </r>
  <r>
    <x v="214"/>
    <n v="30.16"/>
    <n v="1002913"/>
    <n v="28.96"/>
    <n v="4.9773755656108642E-2"/>
    <n v="30247856.080000002"/>
  </r>
  <r>
    <x v="215"/>
    <n v="28.88"/>
    <n v="844921"/>
    <n v="30.03"/>
    <n v="-4.2440318302387259E-2"/>
    <n v="24401318.48"/>
  </r>
  <r>
    <x v="216"/>
    <n v="28.71"/>
    <n v="611686"/>
    <n v="28.87"/>
    <n v="-5.8864265927977E-3"/>
    <n v="17561505.060000002"/>
  </r>
  <r>
    <x v="217"/>
    <n v="29.2"/>
    <n v="740547"/>
    <n v="28.79"/>
    <n v="1.7067223963775691E-2"/>
    <n v="21623972.399999999"/>
  </r>
  <r>
    <x v="218"/>
    <n v="29.45"/>
    <n v="1013094"/>
    <n v="28.94"/>
    <n v="8.5616438356164171E-3"/>
    <n v="29835618.300000001"/>
  </r>
  <r>
    <x v="219"/>
    <n v="29.7"/>
    <n v="665597"/>
    <n v="29.3"/>
    <n v="8.4889643463497144E-3"/>
    <n v="19768230.899999999"/>
  </r>
  <r>
    <x v="220"/>
    <n v="29.66"/>
    <n v="466414"/>
    <n v="29.95"/>
    <n v="-1.3468013468013185E-3"/>
    <n v="13833839.24"/>
  </r>
  <r>
    <x v="221"/>
    <n v="29.89"/>
    <n v="674827"/>
    <n v="29.58"/>
    <n v="7.7545515846257906E-3"/>
    <n v="20170579.030000001"/>
  </r>
  <r>
    <x v="222"/>
    <n v="29.32"/>
    <n v="741485"/>
    <n v="29.89"/>
    <n v="-1.9069923051187709E-2"/>
    <n v="21740340.199999999"/>
  </r>
  <r>
    <x v="223"/>
    <n v="28.56"/>
    <n v="888664"/>
    <n v="28.94"/>
    <n v="-2.592087312414737E-2"/>
    <n v="25380243.84"/>
  </r>
  <r>
    <x v="224"/>
    <n v="28.28"/>
    <n v="732813"/>
    <n v="28.68"/>
    <n v="-9.8039215686274161E-3"/>
    <n v="20723951.640000001"/>
  </r>
  <r>
    <x v="225"/>
    <n v="29.66"/>
    <n v="778810"/>
    <n v="28.46"/>
    <n v="4.8797736916548651E-2"/>
    <n v="23099504.600000001"/>
  </r>
  <r>
    <x v="226"/>
    <n v="29.44"/>
    <n v="655294"/>
    <n v="29.67"/>
    <n v="-7.417397167902906E-3"/>
    <n v="19291855.359999999"/>
  </r>
  <r>
    <x v="227"/>
    <n v="30.21"/>
    <n v="808694"/>
    <n v="29.49"/>
    <n v="2.6154891304347894E-2"/>
    <n v="24430645.740000002"/>
  </r>
  <r>
    <x v="228"/>
    <n v="29.79"/>
    <n v="478067"/>
    <n v="30.5"/>
    <n v="-1.3902681231380387E-2"/>
    <n v="14241615.93"/>
  </r>
  <r>
    <x v="229"/>
    <n v="30.1"/>
    <n v="694537"/>
    <n v="29.64"/>
    <n v="1.0406176569318637E-2"/>
    <n v="20905563.699999999"/>
  </r>
  <r>
    <x v="230"/>
    <n v="30.98"/>
    <n v="772515"/>
    <n v="30.37"/>
    <n v="2.9235880398670977E-2"/>
    <n v="23932514.699999999"/>
  </r>
  <r>
    <x v="231"/>
    <n v="30.12"/>
    <n v="730092"/>
    <n v="30.52"/>
    <n v="-2.7759845061329891E-2"/>
    <n v="21990371.039999999"/>
  </r>
  <r>
    <x v="232"/>
    <n v="30.68"/>
    <n v="513064"/>
    <n v="30.05"/>
    <n v="1.8592297476759612E-2"/>
    <n v="15740803.52"/>
  </r>
  <r>
    <x v="233"/>
    <n v="30.06"/>
    <n v="559024"/>
    <n v="31.16"/>
    <n v="-2.0208604954367715E-2"/>
    <n v="16804261.439999998"/>
  </r>
  <r>
    <x v="234"/>
    <n v="29.91"/>
    <n v="713455"/>
    <n v="30.08"/>
    <n v="-4.9900199600797501E-3"/>
    <n v="21339439.050000001"/>
  </r>
  <r>
    <x v="235"/>
    <n v="29.51"/>
    <n v="576031"/>
    <n v="29.94"/>
    <n v="-1.3373453694416559E-2"/>
    <n v="16998674.810000002"/>
  </r>
  <r>
    <x v="236"/>
    <n v="29.93"/>
    <n v="410659"/>
    <n v="29.77"/>
    <n v="1.4232463571670628E-2"/>
    <n v="12291023.869999999"/>
  </r>
  <r>
    <x v="237"/>
    <n v="30.29"/>
    <n v="535715"/>
    <n v="29.8"/>
    <n v="1.2028065486134221E-2"/>
    <n v="16226807.35"/>
  </r>
  <r>
    <x v="238"/>
    <n v="30.2"/>
    <n v="583538"/>
    <n v="30.12"/>
    <n v="-2.9712776493892035E-3"/>
    <n v="17622847.599999998"/>
  </r>
  <r>
    <x v="239"/>
    <n v="30.82"/>
    <n v="957407"/>
    <n v="30.25"/>
    <n v="2.0529801324503438E-2"/>
    <n v="29507283.740000002"/>
  </r>
  <r>
    <x v="240"/>
    <n v="31.21"/>
    <n v="759884"/>
    <n v="30.29"/>
    <n v="1.2654120700843707E-2"/>
    <n v="23715979.640000001"/>
  </r>
  <r>
    <x v="241"/>
    <n v="30.21"/>
    <n v="1023527"/>
    <n v="31.43"/>
    <n v="-3.2041012495994892E-2"/>
    <n v="30920750.670000002"/>
  </r>
  <r>
    <x v="242"/>
    <n v="31.3"/>
    <n v="610692"/>
    <n v="30.36"/>
    <n v="3.6080767957629822E-2"/>
    <n v="19114659.600000001"/>
  </r>
  <r>
    <x v="243"/>
    <n v="30.33"/>
    <n v="761005"/>
    <n v="31.6"/>
    <n v="-3.0990415335463317E-2"/>
    <n v="23081281.649999999"/>
  </r>
  <r>
    <x v="244"/>
    <n v="31.02"/>
    <n v="648298"/>
    <n v="30.45"/>
    <n v="2.2749752720079064E-2"/>
    <n v="20110203.960000001"/>
  </r>
  <r>
    <x v="245"/>
    <n v="31.23"/>
    <n v="675423"/>
    <n v="30.84"/>
    <n v="6.7698259187620735E-3"/>
    <n v="21093460.289999999"/>
  </r>
  <r>
    <x v="246"/>
    <n v="29.39"/>
    <n v="1651919"/>
    <n v="29.81"/>
    <n v="-5.891770733269297E-2"/>
    <n v="48549899.410000004"/>
  </r>
  <r>
    <x v="247"/>
    <n v="28.57"/>
    <n v="1422019"/>
    <n v="29.3"/>
    <n v="-2.7900646478394076E-2"/>
    <n v="40627082.829999998"/>
  </r>
  <r>
    <x v="248"/>
    <n v="27.02"/>
    <n v="8965933"/>
    <n v="28.7"/>
    <n v="-5.4252712635631806E-2"/>
    <n v="242259509.66"/>
  </r>
  <r>
    <x v="249"/>
    <n v="27.48"/>
    <n v="3302473"/>
    <n v="27.2"/>
    <n v="1.7024426350851218E-2"/>
    <n v="90751958.040000007"/>
  </r>
  <r>
    <x v="250"/>
    <n v="27.26"/>
    <n v="1563580"/>
    <n v="27.29"/>
    <n v="-8.0058224163027658E-3"/>
    <n v="42623190.800000004"/>
  </r>
  <r>
    <x v="251"/>
    <n v="27.56"/>
    <n v="2164313"/>
    <n v="27.5"/>
    <n v="1.1005135730007165E-2"/>
    <n v="59648466.279999994"/>
  </r>
  <r>
    <x v="252"/>
    <n v="28.05"/>
    <n v="1904915"/>
    <n v="27.24"/>
    <n v="1.7779390420899821E-2"/>
    <n v="53432865.75"/>
  </r>
  <r>
    <x v="253"/>
    <n v="27.99"/>
    <n v="1139650"/>
    <n v="28.32"/>
    <n v="-2.1390374331551332E-3"/>
    <n v="31898803.5"/>
  </r>
  <r>
    <x v="254"/>
    <n v="28.02"/>
    <n v="1093901"/>
    <n v="28.05"/>
    <n v="1.071811361200492E-3"/>
    <n v="30651106.02"/>
  </r>
  <r>
    <x v="255"/>
    <n v="28.15"/>
    <n v="899872"/>
    <n v="28.02"/>
    <n v="4.6395431834402867E-3"/>
    <n v="25331396.799999997"/>
  </r>
  <r>
    <x v="256"/>
    <n v="28.43"/>
    <n v="1011084"/>
    <n v="28.29"/>
    <n v="9.9467140319715597E-3"/>
    <n v="28745118.120000001"/>
  </r>
  <r>
    <x v="257"/>
    <n v="28.42"/>
    <n v="1167834"/>
    <n v="28.69"/>
    <n v="-3.5174111853664147E-4"/>
    <n v="33189842.280000001"/>
  </r>
  <r>
    <x v="258"/>
    <n v="28.03"/>
    <n v="562114"/>
    <n v="28.58"/>
    <n v="-1.3722730471498967E-2"/>
    <n v="15756055.42"/>
  </r>
  <r>
    <x v="259"/>
    <n v="27.89"/>
    <n v="708533"/>
    <n v="28.03"/>
    <n v="-4.9946485907955696E-3"/>
    <n v="19760985.370000001"/>
  </r>
  <r>
    <x v="260"/>
    <n v="27.66"/>
    <n v="603497"/>
    <n v="27.9"/>
    <n v="-8.2466833990677557E-3"/>
    <n v="16692727.02"/>
  </r>
  <r>
    <x v="261"/>
    <n v="27.48"/>
    <n v="500735"/>
    <n v="27.59"/>
    <n v="-6.5075921908893664E-3"/>
    <n v="13760197.800000001"/>
  </r>
  <r>
    <x v="262"/>
    <n v="26.21"/>
    <n v="942533"/>
    <n v="27.42"/>
    <n v="-4.6215429403202335E-2"/>
    <n v="24703789.93"/>
  </r>
  <r>
    <x v="263"/>
    <n v="26.62"/>
    <n v="797044"/>
    <n v="26.02"/>
    <n v="1.5642884395268952E-2"/>
    <n v="21217311.280000001"/>
  </r>
  <r>
    <x v="264"/>
    <n v="25.72"/>
    <n v="610176"/>
    <n v="26.76"/>
    <n v="-3.3809166040571048E-2"/>
    <n v="15693726.719999999"/>
  </r>
  <r>
    <x v="265"/>
    <n v="25.23"/>
    <n v="1438546"/>
    <n v="25.5"/>
    <n v="-1.9051321928460263E-2"/>
    <n v="36294515.579999998"/>
  </r>
  <r>
    <x v="266"/>
    <n v="25.32"/>
    <n v="485240"/>
    <n v="25.2"/>
    <n v="3.5671819262781401E-3"/>
    <n v="12286276.800000001"/>
  </r>
  <r>
    <x v="267"/>
    <n v="24.45"/>
    <n v="610037"/>
    <n v="25.29"/>
    <n v="-3.4360189573459765E-2"/>
    <n v="14915404.65"/>
  </r>
  <r>
    <x v="268"/>
    <n v="24.94"/>
    <n v="1500903"/>
    <n v="24.52"/>
    <n v="2.0040899795501055E-2"/>
    <n v="37432520.82"/>
  </r>
  <r>
    <x v="269"/>
    <n v="24.1"/>
    <n v="2348728"/>
    <n v="24.53"/>
    <n v="-3.3680834001603821E-2"/>
    <n v="56604344.800000004"/>
  </r>
  <r>
    <x v="270"/>
    <n v="24.5"/>
    <n v="890151"/>
    <n v="24.1"/>
    <n v="1.6597510373443924E-2"/>
    <n v="21808699.5"/>
  </r>
  <r>
    <x v="271"/>
    <n v="25.21"/>
    <n v="692536"/>
    <n v="24.85"/>
    <n v="2.8979591836734819E-2"/>
    <n v="17458832.560000002"/>
  </r>
  <r>
    <x v="272"/>
    <n v="24.52"/>
    <n v="343723"/>
    <n v="24.96"/>
    <n v="-2.7370091233637539E-2"/>
    <n v="8428087.959999999"/>
  </r>
  <r>
    <x v="273"/>
    <n v="25.06"/>
    <n v="389995"/>
    <n v="24.78"/>
    <n v="2.2022838499184294E-2"/>
    <n v="9773274.6999999993"/>
  </r>
  <r>
    <x v="274"/>
    <n v="25.06"/>
    <n v="570438"/>
    <n v="25.18"/>
    <n v="0"/>
    <n v="14295176.279999999"/>
  </r>
  <r>
    <x v="275"/>
    <n v="24.23"/>
    <n v="435673"/>
    <n v="24.74"/>
    <n v="-3.312051077414202E-2"/>
    <n v="10556356.790000001"/>
  </r>
  <r>
    <x v="276"/>
    <n v="24.2"/>
    <n v="677595"/>
    <n v="24.15"/>
    <n v="-1.2381345439538283E-3"/>
    <n v="16397799"/>
  </r>
  <r>
    <x v="277"/>
    <n v="25.65"/>
    <n v="968079"/>
    <n v="24.36"/>
    <n v="5.9917355371900793E-2"/>
    <n v="24831226.349999998"/>
  </r>
  <r>
    <x v="278"/>
    <n v="25.84"/>
    <n v="289530"/>
    <n v="25.26"/>
    <n v="7.4074074074075291E-3"/>
    <n v="7481455.2000000002"/>
  </r>
  <r>
    <x v="279"/>
    <n v="26.81"/>
    <n v="296744"/>
    <n v="25.9"/>
    <n v="3.7538699690402355E-2"/>
    <n v="7955706.6399999997"/>
  </r>
  <r>
    <x v="280"/>
    <n v="26.84"/>
    <n v="679030"/>
    <n v="26.99"/>
    <n v="1.1189854531892252E-3"/>
    <n v="18225165.199999999"/>
  </r>
  <r>
    <x v="281"/>
    <n v="26.67"/>
    <n v="819336"/>
    <n v="27.2"/>
    <n v="-6.3338301043218692E-3"/>
    <n v="21851691.120000001"/>
  </r>
  <r>
    <x v="282"/>
    <n v="26.97"/>
    <n v="854619"/>
    <n v="26.91"/>
    <n v="1.1248593925759165E-2"/>
    <n v="23049074.43"/>
  </r>
  <r>
    <x v="283"/>
    <n v="26.74"/>
    <n v="891703"/>
    <n v="26.76"/>
    <n v="-8.5279940674823917E-3"/>
    <n v="23844138.219999999"/>
  </r>
  <r>
    <x v="284"/>
    <n v="26.68"/>
    <n v="752944"/>
    <n v="26.05"/>
    <n v="-2.24382946896029E-3"/>
    <n v="20088545.919999998"/>
  </r>
  <r>
    <x v="285"/>
    <n v="26.82"/>
    <n v="726433"/>
    <n v="26.58"/>
    <n v="5.2473763118441319E-3"/>
    <n v="19482933.059999999"/>
  </r>
  <r>
    <x v="286"/>
    <n v="27.25"/>
    <n v="453081"/>
    <n v="26.42"/>
    <n v="1.6032811334824704E-2"/>
    <n v="12346457.25"/>
  </r>
  <r>
    <x v="287"/>
    <n v="28.08"/>
    <n v="916849"/>
    <n v="26.62"/>
    <n v="3.0458715596330288E-2"/>
    <n v="25745119.919999998"/>
  </r>
  <r>
    <x v="288"/>
    <n v="25.27"/>
    <n v="1192048"/>
    <n v="27.49"/>
    <n v="-0.10007122507122501"/>
    <n v="30123052.960000001"/>
  </r>
  <r>
    <x v="289"/>
    <n v="24.86"/>
    <n v="927806"/>
    <n v="23.97"/>
    <n v="-1.6224772457459458E-2"/>
    <n v="23065257.16"/>
  </r>
  <r>
    <x v="290"/>
    <n v="24.84"/>
    <n v="727543"/>
    <n v="25.53"/>
    <n v="-8.045052292839916E-4"/>
    <n v="18072168.120000001"/>
  </r>
  <r>
    <x v="291"/>
    <n v="26.43"/>
    <n v="1382931"/>
    <n v="24.74"/>
    <n v="6.4009661835748854E-2"/>
    <n v="36550866.329999998"/>
  </r>
  <r>
    <x v="292"/>
    <n v="26.65"/>
    <n v="838692"/>
    <n v="25.3"/>
    <n v="8.3238743851683505E-3"/>
    <n v="22351141.799999997"/>
  </r>
  <r>
    <x v="293"/>
    <n v="27.18"/>
    <n v="614124"/>
    <n v="26.65"/>
    <n v="1.9887429643527188E-2"/>
    <n v="16691890.32"/>
  </r>
  <r>
    <x v="294"/>
    <n v="27.22"/>
    <n v="641676"/>
    <n v="27.6"/>
    <n v="1.4716703458423908E-3"/>
    <n v="17466420.719999999"/>
  </r>
  <r>
    <x v="295"/>
    <n v="26.71"/>
    <n v="394837"/>
    <n v="27.2"/>
    <n v="-1.8736223365172555E-2"/>
    <n v="10546096.27"/>
  </r>
  <r>
    <x v="296"/>
    <n v="25.76"/>
    <n v="552742"/>
    <n v="26.77"/>
    <n v="-3.5567203294646133E-2"/>
    <n v="14238633.920000002"/>
  </r>
  <r>
    <x v="297"/>
    <n v="25.99"/>
    <n v="718242"/>
    <n v="25.73"/>
    <n v="8.9285714285713969E-3"/>
    <n v="18667109.579999998"/>
  </r>
  <r>
    <x v="298"/>
    <n v="26.94"/>
    <n v="1094901"/>
    <n v="26.44"/>
    <n v="3.6552520200077154E-2"/>
    <n v="29496632.940000001"/>
  </r>
  <r>
    <x v="299"/>
    <n v="28.06"/>
    <n v="692880"/>
    <n v="27.43"/>
    <n v="4.1573867854491464E-2"/>
    <n v="19442212.800000001"/>
  </r>
  <r>
    <x v="300"/>
    <n v="28.88"/>
    <n v="753316"/>
    <n v="28.4"/>
    <n v="2.9223093371347098E-2"/>
    <n v="21755766.079999998"/>
  </r>
  <r>
    <x v="301"/>
    <n v="30.05"/>
    <n v="556588"/>
    <n v="29.22"/>
    <n v="4.0512465373961248E-2"/>
    <n v="16725469.4"/>
  </r>
  <r>
    <x v="302"/>
    <n v="30.19"/>
    <n v="564304"/>
    <n v="30.05"/>
    <n v="4.6589018302829466E-3"/>
    <n v="17036337.760000002"/>
  </r>
  <r>
    <x v="303"/>
    <n v="30.26"/>
    <n v="370873"/>
    <n v="30.25"/>
    <n v="2.3186485591255579E-3"/>
    <n v="11222616.98"/>
  </r>
  <r>
    <x v="304"/>
    <n v="30.28"/>
    <n v="578930"/>
    <n v="30.51"/>
    <n v="6.6093853271653735E-4"/>
    <n v="17530000.400000002"/>
  </r>
  <r>
    <x v="305"/>
    <n v="30.56"/>
    <n v="384005"/>
    <n v="30.13"/>
    <n v="9.2470277410832136E-3"/>
    <n v="11735192.799999999"/>
  </r>
  <r>
    <x v="306"/>
    <n v="30.13"/>
    <n v="433270"/>
    <n v="30.6"/>
    <n v="-1.4070680628272214E-2"/>
    <n v="13054425.1"/>
  </r>
  <r>
    <x v="307"/>
    <n v="30.39"/>
    <n v="1061693"/>
    <n v="30.4"/>
    <n v="8.6292731496846464E-3"/>
    <n v="32264850.27"/>
  </r>
  <r>
    <x v="308"/>
    <n v="30.9"/>
    <n v="456844"/>
    <n v="30.5"/>
    <n v="1.6781836130306038E-2"/>
    <n v="14116479.6"/>
  </r>
  <r>
    <x v="309"/>
    <n v="31.01"/>
    <n v="410360"/>
    <n v="30.46"/>
    <n v="3.5598705501618255E-3"/>
    <n v="12725263.600000001"/>
  </r>
  <r>
    <x v="310"/>
    <n v="30.98"/>
    <n v="652312"/>
    <n v="30.15"/>
    <n v="-9.6742986133513398E-4"/>
    <n v="20208625.760000002"/>
  </r>
  <r>
    <x v="311"/>
    <n v="28.44"/>
    <n v="1573853"/>
    <n v="30"/>
    <n v="-8.1988379599741701E-2"/>
    <n v="44760379.32"/>
  </r>
  <r>
    <x v="312"/>
    <n v="27.9"/>
    <n v="695352"/>
    <n v="29.01"/>
    <n v="-1.8987341772152E-2"/>
    <n v="19400320.800000001"/>
  </r>
  <r>
    <x v="313"/>
    <n v="27.76"/>
    <n v="580289"/>
    <n v="27.89"/>
    <n v="-5.0179211469533191E-3"/>
    <n v="16108822.640000001"/>
  </r>
  <r>
    <x v="314"/>
    <n v="28.69"/>
    <n v="576248"/>
    <n v="27.75"/>
    <n v="3.3501440922190096E-2"/>
    <n v="16532555.120000001"/>
  </r>
  <r>
    <x v="315"/>
    <n v="29.96"/>
    <n v="561587"/>
    <n v="28.96"/>
    <n v="4.4266294876263546E-2"/>
    <n v="16825146.52"/>
  </r>
  <r>
    <x v="316"/>
    <n v="30.2"/>
    <n v="672849"/>
    <n v="29.7"/>
    <n v="8.0106809078770436E-3"/>
    <n v="20320039.800000001"/>
  </r>
  <r>
    <x v="317"/>
    <n v="30.25"/>
    <n v="504141"/>
    <n v="30.33"/>
    <n v="1.6556291390728006E-3"/>
    <n v="15250265.25"/>
  </r>
  <r>
    <x v="318"/>
    <n v="30.9"/>
    <n v="583006"/>
    <n v="30.12"/>
    <n v="2.1487603305785141E-2"/>
    <n v="18014885.399999999"/>
  </r>
  <r>
    <x v="319"/>
    <n v="31.21"/>
    <n v="678987"/>
    <n v="31"/>
    <n v="1.0032362459547084E-2"/>
    <n v="21191184.27"/>
  </r>
  <r>
    <x v="320"/>
    <n v="30.35"/>
    <n v="341152"/>
    <n v="31.27"/>
    <n v="-2.7555270746555616E-2"/>
    <n v="10353963.200000001"/>
  </r>
  <r>
    <x v="321"/>
    <n v="29.79"/>
    <n v="421073"/>
    <n v="30.38"/>
    <n v="-1.8451400329489331E-2"/>
    <n v="12543764.67"/>
  </r>
  <r>
    <x v="322"/>
    <n v="29.8"/>
    <n v="278109"/>
    <n v="29.57"/>
    <n v="3.3568311513931803E-4"/>
    <n v="8287648.2000000002"/>
  </r>
  <r>
    <x v="323"/>
    <n v="29.85"/>
    <n v="384850"/>
    <n v="29.8"/>
    <n v="1.6778523489933139E-3"/>
    <n v="11487772.5"/>
  </r>
  <r>
    <x v="324"/>
    <n v="29.6"/>
    <n v="295448"/>
    <n v="29.71"/>
    <n v="-8.3752093802345051E-3"/>
    <n v="8745260.8000000007"/>
  </r>
  <r>
    <x v="325"/>
    <n v="29.3"/>
    <n v="266321"/>
    <n v="29.8"/>
    <n v="-1.0135135135135198E-2"/>
    <n v="7803205.2999999998"/>
  </r>
  <r>
    <x v="326"/>
    <n v="28.86"/>
    <n v="749735"/>
    <n v="29.25"/>
    <n v="-1.5017064846416406E-2"/>
    <n v="21637352.099999998"/>
  </r>
  <r>
    <x v="327"/>
    <n v="29.06"/>
    <n v="375526"/>
    <n v="30.12"/>
    <n v="6.9300069300068934E-3"/>
    <n v="10912785.559999999"/>
  </r>
  <r>
    <x v="328"/>
    <n v="28.75"/>
    <n v="778533"/>
    <n v="28.75"/>
    <n v="-1.0667584308327593E-2"/>
    <n v="22382823.75"/>
  </r>
  <r>
    <x v="329"/>
    <n v="27.3"/>
    <n v="812384"/>
    <n v="29.15"/>
    <n v="-5.0434782608695605E-2"/>
    <n v="22178083.199999999"/>
  </r>
  <r>
    <x v="330"/>
    <n v="27.4"/>
    <n v="477116"/>
    <n v="27.5"/>
    <n v="3.66300366300365E-3"/>
    <n v="13072978.399999999"/>
  </r>
  <r>
    <x v="331"/>
    <n v="27.28"/>
    <n v="629236"/>
    <n v="27.43"/>
    <n v="-4.3795620437955263E-3"/>
    <n v="17165558.080000002"/>
  </r>
  <r>
    <x v="332"/>
    <n v="26.44"/>
    <n v="272313"/>
    <n v="27.11"/>
    <n v="-3.0791788856304958E-2"/>
    <n v="7199955.7200000007"/>
  </r>
  <r>
    <x v="333"/>
    <n v="26.37"/>
    <n v="479160"/>
    <n v="26.52"/>
    <n v="-2.6475037821482861E-3"/>
    <n v="12635449.200000001"/>
  </r>
  <r>
    <x v="334"/>
    <n v="26.61"/>
    <n v="734561"/>
    <n v="26.28"/>
    <n v="9.1012514220705221E-3"/>
    <n v="19546668.210000001"/>
  </r>
  <r>
    <x v="335"/>
    <n v="26.8"/>
    <n v="425569"/>
    <n v="26.52"/>
    <n v="7.140172867343253E-3"/>
    <n v="11405249.200000001"/>
  </r>
  <r>
    <x v="336"/>
    <n v="26.17"/>
    <n v="385180"/>
    <n v="26.83"/>
    <n v="-2.3507462686567115E-2"/>
    <n v="10080160.600000001"/>
  </r>
  <r>
    <x v="337"/>
    <n v="26.48"/>
    <n v="330921"/>
    <n v="26.21"/>
    <n v="1.1845624761176898E-2"/>
    <n v="8762788.0800000001"/>
  </r>
  <r>
    <x v="338"/>
    <n v="26.19"/>
    <n v="314470"/>
    <n v="26.43"/>
    <n v="-1.0951661631419918E-2"/>
    <n v="8235969.3000000007"/>
  </r>
  <r>
    <x v="339"/>
    <n v="25.56"/>
    <n v="328167"/>
    <n v="26.36"/>
    <n v="-2.4054982817869552E-2"/>
    <n v="8387948.5199999996"/>
  </r>
  <r>
    <x v="340"/>
    <n v="26.35"/>
    <n v="540147"/>
    <n v="25.86"/>
    <n v="3.0907668231612062E-2"/>
    <n v="14232873.450000001"/>
  </r>
  <r>
    <x v="341"/>
    <n v="27"/>
    <n v="307089"/>
    <n v="26.49"/>
    <n v="2.4667931688804545E-2"/>
    <n v="8291403"/>
  </r>
  <r>
    <x v="342"/>
    <n v="26.67"/>
    <n v="635375"/>
    <n v="27.13"/>
    <n v="-1.2222222222222134E-2"/>
    <n v="16945451.25"/>
  </r>
  <r>
    <x v="343"/>
    <n v="27.2"/>
    <n v="824713"/>
    <n v="26.91"/>
    <n v="1.9872515935507984E-2"/>
    <n v="22432193.599999998"/>
  </r>
  <r>
    <x v="344"/>
    <n v="27.43"/>
    <n v="563457"/>
    <n v="27.24"/>
    <n v="8.4558823529412575E-3"/>
    <n v="15455625.51"/>
  </r>
  <r>
    <x v="345"/>
    <n v="27.46"/>
    <n v="555579"/>
    <n v="27.42"/>
    <n v="1.0936930368210529E-3"/>
    <n v="15256199.34"/>
  </r>
  <r>
    <x v="346"/>
    <n v="27.76"/>
    <n v="1126468"/>
    <n v="27.45"/>
    <n v="1.0924981791696986E-2"/>
    <n v="31270751.680000003"/>
  </r>
  <r>
    <x v="347"/>
    <n v="27.61"/>
    <n v="773962"/>
    <n v="27.85"/>
    <n v="-5.4034582132566067E-3"/>
    <n v="21369090.82"/>
  </r>
  <r>
    <x v="348"/>
    <n v="27.79"/>
    <n v="1074158"/>
    <n v="27.54"/>
    <n v="6.5193770373053184E-3"/>
    <n v="29850850.82"/>
  </r>
  <r>
    <x v="349"/>
    <n v="27.73"/>
    <n v="274240"/>
    <n v="27.98"/>
    <n v="-2.1590500179919925E-3"/>
    <n v="7604675.2000000002"/>
  </r>
  <r>
    <x v="350"/>
    <n v="26.39"/>
    <n v="334342"/>
    <n v="27.55"/>
    <n v="-4.8323115759105639E-2"/>
    <n v="8823285.3800000008"/>
  </r>
  <r>
    <x v="351"/>
    <n v="25.76"/>
    <n v="544387"/>
    <n v="26.38"/>
    <n v="-2.3872679045092826E-2"/>
    <n v="14023409.120000001"/>
  </r>
  <r>
    <x v="352"/>
    <n v="25.19"/>
    <n v="705384"/>
    <n v="25.6"/>
    <n v="-2.2127329192546563E-2"/>
    <n v="17768622.960000001"/>
  </r>
  <r>
    <x v="353"/>
    <n v="25.53"/>
    <n v="357526"/>
    <n v="25.28"/>
    <n v="1.349741961095674E-2"/>
    <n v="9127638.7800000012"/>
  </r>
  <r>
    <x v="354"/>
    <n v="24.57"/>
    <n v="731060"/>
    <n v="25.5"/>
    <n v="-3.7602820211515842E-2"/>
    <n v="17962144.199999999"/>
  </r>
  <r>
    <x v="355"/>
    <n v="24.45"/>
    <n v="605520"/>
    <n v="24.6"/>
    <n v="-4.8840048840049777E-3"/>
    <n v="14804964"/>
  </r>
  <r>
    <x v="356"/>
    <n v="26.6"/>
    <n v="1674421"/>
    <n v="24.42"/>
    <n v="8.7934560327198374E-2"/>
    <n v="44539598.600000001"/>
  </r>
  <r>
    <x v="357"/>
    <n v="26.43"/>
    <n v="976894"/>
    <n v="26.79"/>
    <n v="-6.3909774436090583E-3"/>
    <n v="25819308.419999998"/>
  </r>
  <r>
    <x v="358"/>
    <n v="26.3"/>
    <n v="658849"/>
    <n v="26.44"/>
    <n v="-4.9186530457813182E-3"/>
    <n v="17327728.699999999"/>
  </r>
  <r>
    <x v="359"/>
    <n v="26.02"/>
    <n v="1212273"/>
    <n v="26.32"/>
    <n v="-1.0646387832699666E-2"/>
    <n v="31543343.460000001"/>
  </r>
  <r>
    <x v="360"/>
    <n v="26.18"/>
    <n v="521362"/>
    <n v="26.14"/>
    <n v="6.1491160645656961E-3"/>
    <n v="13649257.16"/>
  </r>
  <r>
    <x v="361"/>
    <n v="25.75"/>
    <n v="683267"/>
    <n v="26.25"/>
    <n v="-1.6424751718869368E-2"/>
    <n v="17594125.25"/>
  </r>
  <r>
    <x v="362"/>
    <n v="25.75"/>
    <n v="861957"/>
    <n v="25.72"/>
    <n v="0"/>
    <n v="22195392.75"/>
  </r>
  <r>
    <x v="363"/>
    <n v="25.66"/>
    <n v="608850"/>
    <n v="25.8"/>
    <n v="-3.4951456310680085E-3"/>
    <n v="15623091"/>
  </r>
  <r>
    <x v="364"/>
    <n v="25.61"/>
    <n v="215429"/>
    <n v="25.59"/>
    <n v="-1.9485580670304259E-3"/>
    <n v="5517136.6899999995"/>
  </r>
  <r>
    <x v="365"/>
    <n v="24.83"/>
    <n v="767916"/>
    <n v="25.55"/>
    <n v="-3.0456852791878264E-2"/>
    <n v="19067354.279999997"/>
  </r>
  <r>
    <x v="366"/>
    <n v="25.76"/>
    <n v="751503"/>
    <n v="24.98"/>
    <n v="3.7454691904953874E-2"/>
    <n v="19358717.280000001"/>
  </r>
  <r>
    <x v="367"/>
    <n v="25.56"/>
    <n v="478634"/>
    <n v="25.91"/>
    <n v="-7.763975155279601E-3"/>
    <n v="12233885.039999999"/>
  </r>
  <r>
    <x v="368"/>
    <n v="25.52"/>
    <n v="541223"/>
    <n v="25.5"/>
    <n v="-1.5649452269169695E-3"/>
    <n v="13812010.959999999"/>
  </r>
  <r>
    <x v="369"/>
    <n v="25.5"/>
    <n v="481573"/>
    <n v="25.54"/>
    <n v="-7.8369905956110486E-4"/>
    <n v="12280111.5"/>
  </r>
  <r>
    <x v="370"/>
    <n v="25.49"/>
    <n v="761707"/>
    <n v="25.6"/>
    <n v="-3.9215686274518546E-4"/>
    <n v="19415911.43"/>
  </r>
  <r>
    <x v="371"/>
    <n v="24.71"/>
    <n v="503228"/>
    <n v="25.52"/>
    <n v="-3.0600235386425978E-2"/>
    <n v="12434763.880000001"/>
  </r>
  <r>
    <x v="372"/>
    <n v="24.34"/>
    <n v="713664"/>
    <n v="24.5"/>
    <n v="-1.4973694860380471E-2"/>
    <n v="17370581.760000002"/>
  </r>
  <r>
    <x v="373"/>
    <n v="25.44"/>
    <n v="325092"/>
    <n v="24.43"/>
    <n v="4.5193097781429881E-2"/>
    <n v="8270340.4800000004"/>
  </r>
  <r>
    <x v="374"/>
    <n v="25.81"/>
    <n v="327653"/>
    <n v="25.4"/>
    <n v="1.4544025157232632E-2"/>
    <n v="8456723.9299999997"/>
  </r>
  <r>
    <x v="375"/>
    <n v="26.33"/>
    <n v="651220"/>
    <n v="25.7"/>
    <n v="2.0147229755908658E-2"/>
    <n v="17146622.599999998"/>
  </r>
  <r>
    <x v="376"/>
    <n v="28.02"/>
    <n v="1311441"/>
    <n v="26.07"/>
    <n v="6.418533991644515E-2"/>
    <n v="36746576.82"/>
  </r>
  <r>
    <x v="377"/>
    <n v="26.6"/>
    <n v="1004594"/>
    <n v="27.9"/>
    <n v="-5.0678087080656575E-2"/>
    <n v="26722200.400000002"/>
  </r>
  <r>
    <x v="378"/>
    <n v="26.18"/>
    <n v="519356"/>
    <n v="26.5"/>
    <n v="-1.5789473684210575E-2"/>
    <n v="13596740.08"/>
  </r>
  <r>
    <x v="379"/>
    <n v="26.08"/>
    <n v="614439"/>
    <n v="26.19"/>
    <n v="-3.8197097020626902E-3"/>
    <n v="16024569.119999999"/>
  </r>
  <r>
    <x v="380"/>
    <n v="25.45"/>
    <n v="436397"/>
    <n v="26.26"/>
    <n v="-2.415644171779141E-2"/>
    <n v="11106303.65"/>
  </r>
  <r>
    <x v="381"/>
    <n v="25.63"/>
    <n v="465129"/>
    <n v="25.48"/>
    <n v="7.0726915520629152E-3"/>
    <n v="11921256.27"/>
  </r>
  <r>
    <x v="382"/>
    <n v="25.87"/>
    <n v="293118"/>
    <n v="25.49"/>
    <n v="9.3640265314085536E-3"/>
    <n v="7582962.6600000001"/>
  </r>
  <r>
    <x v="383"/>
    <n v="25.56"/>
    <n v="378628"/>
    <n v="25.61"/>
    <n v="-1.1982991882489413E-2"/>
    <n v="9677731.6799999997"/>
  </r>
  <r>
    <x v="384"/>
    <n v="25.85"/>
    <n v="481784"/>
    <n v="25.56"/>
    <n v="1.1345852895148667E-2"/>
    <n v="12454116.4"/>
  </r>
  <r>
    <x v="385"/>
    <n v="26.02"/>
    <n v="590541"/>
    <n v="25.86"/>
    <n v="6.5764023210830302E-3"/>
    <n v="15365876.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F21D1C-3DA4-4A40-8FAE-AAB417C8CCA3}" name="TablaDinámica4" cacheId="1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:F11" firstHeaderRow="0" firstDataRow="1" firstDataCol="1"/>
  <pivotFields count="9">
    <pivotField axis="axisRow" numFmtId="164" showAll="0">
      <items count="38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t="default"/>
      </items>
    </pivotField>
    <pivotField dataField="1" numFmtId="8" showAll="0"/>
    <pivotField dataField="1" showAll="0"/>
    <pivotField dataField="1" numFmtId="8" showAll="0"/>
    <pivotField dataField="1" showAll="0"/>
    <pivotField dataField="1" numFmtId="8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x="2"/>
        <item sd="0" x="3"/>
        <item t="default"/>
      </items>
    </pivotField>
  </pivotFields>
  <rowFields count="4">
    <field x="8"/>
    <field x="7"/>
    <field x="6"/>
    <field x="0"/>
  </rowFields>
  <rowItems count="10">
    <i>
      <x v="1"/>
    </i>
    <i r="1"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Suma de Close/Last" fld="1" baseField="0" baseItem="0" numFmtId="8"/>
    <dataField name="Suma de Volume" fld="2" baseField="0" baseItem="0"/>
    <dataField name="Suma de Open" fld="3" baseField="0" baseItem="0" numFmtId="8"/>
    <dataField name="Suma de Cuenta financiera" fld="5" baseField="0" baseItem="0" numFmtId="8"/>
    <dataField name="Suma de Variacion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1AF54-2666-4D38-AEDF-1D316BC9367D}">
  <dimension ref="A1:G387"/>
  <sheetViews>
    <sheetView workbookViewId="0">
      <selection activeCell="J16" sqref="J16"/>
    </sheetView>
  </sheetViews>
  <sheetFormatPr baseColWidth="10" defaultRowHeight="14.4" x14ac:dyDescent="0.3"/>
  <cols>
    <col min="1" max="1" width="11.5546875" style="2"/>
    <col min="6" max="6" width="15.33203125" bestFit="1" customWidth="1"/>
  </cols>
  <sheetData>
    <row r="1" spans="1:7" x14ac:dyDescent="0.3">
      <c r="A1" s="2" t="s">
        <v>0</v>
      </c>
      <c r="B1" t="s">
        <v>1</v>
      </c>
      <c r="C1" t="s">
        <v>2</v>
      </c>
      <c r="D1" t="s">
        <v>3</v>
      </c>
      <c r="E1" t="s">
        <v>9</v>
      </c>
      <c r="F1" t="s">
        <v>10</v>
      </c>
    </row>
    <row r="2" spans="1:7" x14ac:dyDescent="0.3">
      <c r="A2" s="2">
        <v>45331</v>
      </c>
      <c r="B2" s="1">
        <v>19.05</v>
      </c>
      <c r="C2">
        <v>15493660</v>
      </c>
      <c r="D2" s="1">
        <v>19.5</v>
      </c>
      <c r="E2">
        <v>0</v>
      </c>
      <c r="F2" s="1">
        <f>C2*B2</f>
        <v>295154223</v>
      </c>
      <c r="G2" s="1"/>
    </row>
    <row r="3" spans="1:7" x14ac:dyDescent="0.3">
      <c r="A3" s="2">
        <v>45334</v>
      </c>
      <c r="B3" s="1">
        <v>19.55</v>
      </c>
      <c r="C3">
        <v>2504738</v>
      </c>
      <c r="D3" s="1">
        <v>19.2</v>
      </c>
      <c r="E3" s="5">
        <f>(B3/B2)-1</f>
        <v>2.6246719160105014E-2</v>
      </c>
      <c r="F3" s="1">
        <f t="shared" ref="F3:F66" si="0">C3*B3</f>
        <v>48967627.899999999</v>
      </c>
    </row>
    <row r="4" spans="1:7" x14ac:dyDescent="0.3">
      <c r="A4" s="2">
        <v>45335</v>
      </c>
      <c r="B4" s="1">
        <v>20.6</v>
      </c>
      <c r="C4">
        <v>2108051</v>
      </c>
      <c r="D4" s="1">
        <v>19.899999999999999</v>
      </c>
      <c r="E4" s="5">
        <f t="shared" ref="E4:E67" si="1">(B4/B3)-1</f>
        <v>5.3708439897698135E-2</v>
      </c>
      <c r="F4" s="1">
        <f t="shared" si="0"/>
        <v>43425850.600000001</v>
      </c>
    </row>
    <row r="5" spans="1:7" x14ac:dyDescent="0.3">
      <c r="A5" s="2">
        <v>45336</v>
      </c>
      <c r="B5" s="1">
        <v>21.3</v>
      </c>
      <c r="C5">
        <v>1688173</v>
      </c>
      <c r="D5" s="1">
        <v>20.6</v>
      </c>
      <c r="E5" s="5">
        <f t="shared" si="1"/>
        <v>3.398058252427183E-2</v>
      </c>
      <c r="F5" s="1">
        <f t="shared" si="0"/>
        <v>35958084.899999999</v>
      </c>
    </row>
    <row r="6" spans="1:7" x14ac:dyDescent="0.3">
      <c r="A6" s="2">
        <v>45337</v>
      </c>
      <c r="B6" s="1">
        <v>20.43</v>
      </c>
      <c r="C6">
        <v>1155805</v>
      </c>
      <c r="D6" s="1">
        <v>21.01</v>
      </c>
      <c r="E6" s="5">
        <f t="shared" si="1"/>
        <v>-4.0845070422535268E-2</v>
      </c>
      <c r="F6" s="1">
        <f t="shared" si="0"/>
        <v>23613096.149999999</v>
      </c>
    </row>
    <row r="7" spans="1:7" x14ac:dyDescent="0.3">
      <c r="A7" s="2">
        <v>45338</v>
      </c>
      <c r="B7" s="1">
        <v>20.21</v>
      </c>
      <c r="C7">
        <v>361183</v>
      </c>
      <c r="D7" s="1">
        <v>20.21</v>
      </c>
      <c r="E7" s="5">
        <f t="shared" si="1"/>
        <v>-1.076847772883005E-2</v>
      </c>
      <c r="F7" s="1">
        <f t="shared" si="0"/>
        <v>7299508.4300000006</v>
      </c>
    </row>
    <row r="8" spans="1:7" x14ac:dyDescent="0.3">
      <c r="A8" s="2">
        <v>45342</v>
      </c>
      <c r="B8" s="1">
        <v>20.74</v>
      </c>
      <c r="C8">
        <v>475381</v>
      </c>
      <c r="D8" s="1">
        <v>20.56</v>
      </c>
      <c r="E8" s="5">
        <f t="shared" si="1"/>
        <v>2.6224641266699544E-2</v>
      </c>
      <c r="F8" s="1">
        <f t="shared" si="0"/>
        <v>9859401.9399999995</v>
      </c>
    </row>
    <row r="9" spans="1:7" x14ac:dyDescent="0.3">
      <c r="A9" s="2">
        <v>45343</v>
      </c>
      <c r="B9" s="1">
        <v>20.09</v>
      </c>
      <c r="C9">
        <v>182350</v>
      </c>
      <c r="D9" s="1">
        <v>21.02</v>
      </c>
      <c r="E9" s="5">
        <f t="shared" si="1"/>
        <v>-3.1340405014464778E-2</v>
      </c>
      <c r="F9" s="1">
        <f t="shared" si="0"/>
        <v>3663411.5</v>
      </c>
    </row>
    <row r="10" spans="1:7" x14ac:dyDescent="0.3">
      <c r="A10" s="2">
        <v>45344</v>
      </c>
      <c r="B10" s="1">
        <v>20.79</v>
      </c>
      <c r="C10">
        <v>927479</v>
      </c>
      <c r="D10" s="1">
        <v>20.25</v>
      </c>
      <c r="E10" s="5">
        <f t="shared" si="1"/>
        <v>3.4843205574912828E-2</v>
      </c>
      <c r="F10" s="1">
        <f t="shared" si="0"/>
        <v>19282288.41</v>
      </c>
    </row>
    <row r="11" spans="1:7" x14ac:dyDescent="0.3">
      <c r="A11" s="2">
        <v>45345</v>
      </c>
      <c r="B11" s="1">
        <v>20.87</v>
      </c>
      <c r="C11">
        <v>713528</v>
      </c>
      <c r="D11" s="1">
        <v>20.87</v>
      </c>
      <c r="E11" s="5">
        <f t="shared" si="1"/>
        <v>3.8480038480039891E-3</v>
      </c>
      <c r="F11" s="1">
        <f t="shared" si="0"/>
        <v>14891329.360000001</v>
      </c>
    </row>
    <row r="12" spans="1:7" x14ac:dyDescent="0.3">
      <c r="A12" s="2">
        <v>45348</v>
      </c>
      <c r="B12" s="1">
        <v>20.69</v>
      </c>
      <c r="C12">
        <v>477562</v>
      </c>
      <c r="D12" s="1">
        <v>20.46</v>
      </c>
      <c r="E12" s="5">
        <f t="shared" si="1"/>
        <v>-8.6248203162433423E-3</v>
      </c>
      <c r="F12" s="1">
        <f t="shared" si="0"/>
        <v>9880757.7800000012</v>
      </c>
    </row>
    <row r="13" spans="1:7" x14ac:dyDescent="0.3">
      <c r="A13" s="2">
        <v>45349</v>
      </c>
      <c r="B13" s="1">
        <v>20.190000000000001</v>
      </c>
      <c r="C13">
        <v>604360</v>
      </c>
      <c r="D13" s="1">
        <v>20.93</v>
      </c>
      <c r="E13" s="5">
        <f t="shared" si="1"/>
        <v>-2.4166263895601725E-2</v>
      </c>
      <c r="F13" s="1">
        <f t="shared" si="0"/>
        <v>12202028.4</v>
      </c>
    </row>
    <row r="14" spans="1:7" x14ac:dyDescent="0.3">
      <c r="A14" s="2">
        <v>45350</v>
      </c>
      <c r="B14" s="1">
        <v>20.9</v>
      </c>
      <c r="C14">
        <v>360535</v>
      </c>
      <c r="D14" s="1">
        <v>20.2</v>
      </c>
      <c r="E14" s="5">
        <f t="shared" si="1"/>
        <v>3.5165923724616022E-2</v>
      </c>
      <c r="F14" s="1">
        <f t="shared" si="0"/>
        <v>7535181.4999999991</v>
      </c>
    </row>
    <row r="15" spans="1:7" x14ac:dyDescent="0.3">
      <c r="A15" s="2">
        <v>45351</v>
      </c>
      <c r="B15" s="1">
        <v>20.99</v>
      </c>
      <c r="C15">
        <v>274300</v>
      </c>
      <c r="D15" s="1">
        <v>20.77</v>
      </c>
      <c r="E15" s="5">
        <f t="shared" si="1"/>
        <v>4.3062200956938135E-3</v>
      </c>
      <c r="F15" s="1">
        <f t="shared" si="0"/>
        <v>5757557</v>
      </c>
    </row>
    <row r="16" spans="1:7" x14ac:dyDescent="0.3">
      <c r="A16" s="2">
        <v>45352</v>
      </c>
      <c r="B16" s="1">
        <v>21.28</v>
      </c>
      <c r="C16">
        <v>278936</v>
      </c>
      <c r="D16" s="1">
        <v>20.65</v>
      </c>
      <c r="E16" s="5">
        <f t="shared" si="1"/>
        <v>1.3816102906145877E-2</v>
      </c>
      <c r="F16" s="1">
        <f t="shared" si="0"/>
        <v>5935758.0800000001</v>
      </c>
    </row>
    <row r="17" spans="1:6" x14ac:dyDescent="0.3">
      <c r="A17" s="2">
        <v>45355</v>
      </c>
      <c r="B17" s="1">
        <v>21.27</v>
      </c>
      <c r="C17">
        <v>261671</v>
      </c>
      <c r="D17" s="1">
        <v>21.49</v>
      </c>
      <c r="E17" s="5">
        <f t="shared" si="1"/>
        <v>-4.6992481203012026E-4</v>
      </c>
      <c r="F17" s="1">
        <f t="shared" si="0"/>
        <v>5565742.1699999999</v>
      </c>
    </row>
    <row r="18" spans="1:6" x14ac:dyDescent="0.3">
      <c r="A18" s="2">
        <v>45356</v>
      </c>
      <c r="B18" s="1">
        <v>20.92</v>
      </c>
      <c r="C18">
        <v>810122</v>
      </c>
      <c r="D18" s="1">
        <v>20.88</v>
      </c>
      <c r="E18" s="5">
        <f t="shared" si="1"/>
        <v>-1.6455101081335077E-2</v>
      </c>
      <c r="F18" s="1">
        <f t="shared" si="0"/>
        <v>16947752.240000002</v>
      </c>
    </row>
    <row r="19" spans="1:6" x14ac:dyDescent="0.3">
      <c r="A19" s="2">
        <v>45357</v>
      </c>
      <c r="B19" s="1">
        <v>21.78</v>
      </c>
      <c r="C19">
        <v>850558</v>
      </c>
      <c r="D19" s="1">
        <v>21.48</v>
      </c>
      <c r="E19" s="5">
        <f t="shared" si="1"/>
        <v>4.1108986615678855E-2</v>
      </c>
      <c r="F19" s="1">
        <f t="shared" si="0"/>
        <v>18525153.240000002</v>
      </c>
    </row>
    <row r="20" spans="1:6" x14ac:dyDescent="0.3">
      <c r="A20" s="2">
        <v>45358</v>
      </c>
      <c r="B20" s="1">
        <v>21</v>
      </c>
      <c r="C20">
        <v>985549</v>
      </c>
      <c r="D20" s="1">
        <v>21.77</v>
      </c>
      <c r="E20" s="5">
        <f t="shared" si="1"/>
        <v>-3.5812672176308569E-2</v>
      </c>
      <c r="F20" s="1">
        <f t="shared" si="0"/>
        <v>20696529</v>
      </c>
    </row>
    <row r="21" spans="1:6" x14ac:dyDescent="0.3">
      <c r="A21" s="2">
        <v>45359</v>
      </c>
      <c r="B21" s="1">
        <v>20.97</v>
      </c>
      <c r="C21">
        <v>582080</v>
      </c>
      <c r="D21" s="1">
        <v>21</v>
      </c>
      <c r="E21" s="5">
        <f t="shared" si="1"/>
        <v>-1.4285714285714457E-3</v>
      </c>
      <c r="F21" s="1">
        <f t="shared" si="0"/>
        <v>12206217.6</v>
      </c>
    </row>
    <row r="22" spans="1:6" x14ac:dyDescent="0.3">
      <c r="A22" s="2">
        <v>45362</v>
      </c>
      <c r="B22" s="1">
        <v>21.26</v>
      </c>
      <c r="C22">
        <v>226837</v>
      </c>
      <c r="D22" s="1">
        <v>20.9</v>
      </c>
      <c r="E22" s="5">
        <f t="shared" si="1"/>
        <v>1.3829279923700755E-2</v>
      </c>
      <c r="F22" s="1">
        <f t="shared" si="0"/>
        <v>4822554.62</v>
      </c>
    </row>
    <row r="23" spans="1:6" x14ac:dyDescent="0.3">
      <c r="A23" s="2">
        <v>45363</v>
      </c>
      <c r="B23" s="1">
        <v>21.18</v>
      </c>
      <c r="C23">
        <v>189810</v>
      </c>
      <c r="D23" s="1">
        <v>21.52</v>
      </c>
      <c r="E23" s="5">
        <f t="shared" si="1"/>
        <v>-3.7629350893697566E-3</v>
      </c>
      <c r="F23" s="1">
        <f t="shared" si="0"/>
        <v>4020175.8</v>
      </c>
    </row>
    <row r="24" spans="1:6" x14ac:dyDescent="0.3">
      <c r="A24" s="2">
        <v>45364</v>
      </c>
      <c r="B24" s="1">
        <v>22.02</v>
      </c>
      <c r="C24">
        <v>516824</v>
      </c>
      <c r="D24" s="1">
        <v>21.2</v>
      </c>
      <c r="E24" s="5">
        <f t="shared" si="1"/>
        <v>3.966005665722383E-2</v>
      </c>
      <c r="F24" s="1">
        <f t="shared" si="0"/>
        <v>11380464.48</v>
      </c>
    </row>
    <row r="25" spans="1:6" x14ac:dyDescent="0.3">
      <c r="A25" s="2">
        <v>45365</v>
      </c>
      <c r="B25" s="1">
        <v>21.76</v>
      </c>
      <c r="C25">
        <v>392599</v>
      </c>
      <c r="D25" s="1">
        <v>22.02</v>
      </c>
      <c r="E25" s="5">
        <f t="shared" si="1"/>
        <v>-1.1807447774750179E-2</v>
      </c>
      <c r="F25" s="1">
        <f t="shared" si="0"/>
        <v>8542954.2400000002</v>
      </c>
    </row>
    <row r="26" spans="1:6" x14ac:dyDescent="0.3">
      <c r="A26" s="2">
        <v>45366</v>
      </c>
      <c r="B26" s="1">
        <v>21.71</v>
      </c>
      <c r="C26">
        <v>125214</v>
      </c>
      <c r="D26" s="1">
        <v>21.72</v>
      </c>
      <c r="E26" s="5">
        <f t="shared" si="1"/>
        <v>-2.2977941176470784E-3</v>
      </c>
      <c r="F26" s="1">
        <f t="shared" si="0"/>
        <v>2718395.94</v>
      </c>
    </row>
    <row r="27" spans="1:6" x14ac:dyDescent="0.3">
      <c r="A27" s="2">
        <v>45369</v>
      </c>
      <c r="B27" s="1">
        <v>21.92</v>
      </c>
      <c r="C27">
        <v>245232</v>
      </c>
      <c r="D27" s="1">
        <v>21.67</v>
      </c>
      <c r="E27" s="5">
        <f t="shared" si="1"/>
        <v>9.6729617687700831E-3</v>
      </c>
      <c r="F27" s="1">
        <f t="shared" si="0"/>
        <v>5375485.4400000004</v>
      </c>
    </row>
    <row r="28" spans="1:6" x14ac:dyDescent="0.3">
      <c r="A28" s="2">
        <v>45370</v>
      </c>
      <c r="B28" s="1">
        <v>21.68</v>
      </c>
      <c r="C28">
        <v>340158</v>
      </c>
      <c r="D28" s="1">
        <v>21.69</v>
      </c>
      <c r="E28" s="5">
        <f t="shared" si="1"/>
        <v>-1.0948905109489093E-2</v>
      </c>
      <c r="F28" s="1">
        <f t="shared" si="0"/>
        <v>7374625.4399999995</v>
      </c>
    </row>
    <row r="29" spans="1:6" x14ac:dyDescent="0.3">
      <c r="A29" s="2">
        <v>45371</v>
      </c>
      <c r="B29" s="1">
        <v>22.2</v>
      </c>
      <c r="C29">
        <v>386787</v>
      </c>
      <c r="D29" s="1">
        <v>21.64</v>
      </c>
      <c r="E29" s="5">
        <f t="shared" si="1"/>
        <v>2.3985239852398532E-2</v>
      </c>
      <c r="F29" s="1">
        <f t="shared" si="0"/>
        <v>8586671.4000000004</v>
      </c>
    </row>
    <row r="30" spans="1:6" x14ac:dyDescent="0.3">
      <c r="A30" s="2">
        <v>45372</v>
      </c>
      <c r="B30" s="1">
        <v>22.8</v>
      </c>
      <c r="C30">
        <v>324226</v>
      </c>
      <c r="D30" s="1">
        <v>22.3</v>
      </c>
      <c r="E30" s="5">
        <f t="shared" si="1"/>
        <v>2.7027027027027195E-2</v>
      </c>
      <c r="F30" s="1">
        <f t="shared" si="0"/>
        <v>7392352.7999999998</v>
      </c>
    </row>
    <row r="31" spans="1:6" x14ac:dyDescent="0.3">
      <c r="A31" s="2">
        <v>45373</v>
      </c>
      <c r="B31" s="1">
        <v>23.54</v>
      </c>
      <c r="C31">
        <v>886293</v>
      </c>
      <c r="D31" s="1">
        <v>22.9</v>
      </c>
      <c r="E31" s="5">
        <f t="shared" si="1"/>
        <v>3.2456140350877183E-2</v>
      </c>
      <c r="F31" s="1">
        <f t="shared" si="0"/>
        <v>20863337.219999999</v>
      </c>
    </row>
    <row r="32" spans="1:6" x14ac:dyDescent="0.3">
      <c r="A32" s="2">
        <v>45376</v>
      </c>
      <c r="B32" s="1">
        <v>23.81</v>
      </c>
      <c r="C32">
        <v>1194225</v>
      </c>
      <c r="D32" s="1">
        <v>23.79</v>
      </c>
      <c r="E32" s="5">
        <f t="shared" si="1"/>
        <v>1.1469838572642388E-2</v>
      </c>
      <c r="F32" s="1">
        <f t="shared" si="0"/>
        <v>28434497.25</v>
      </c>
    </row>
    <row r="33" spans="1:6" x14ac:dyDescent="0.3">
      <c r="A33" s="2">
        <v>45377</v>
      </c>
      <c r="B33" s="1">
        <v>23.74</v>
      </c>
      <c r="C33">
        <v>2478234</v>
      </c>
      <c r="D33" s="1">
        <v>23.76</v>
      </c>
      <c r="E33" s="5">
        <f t="shared" si="1"/>
        <v>-2.9399412011760218E-3</v>
      </c>
      <c r="F33" s="1">
        <f t="shared" si="0"/>
        <v>58833275.159999996</v>
      </c>
    </row>
    <row r="34" spans="1:6" x14ac:dyDescent="0.3">
      <c r="A34" s="2">
        <v>45378</v>
      </c>
      <c r="B34" s="1">
        <v>24.5</v>
      </c>
      <c r="C34">
        <v>1134139</v>
      </c>
      <c r="D34" s="1">
        <v>23.96</v>
      </c>
      <c r="E34" s="5">
        <f t="shared" si="1"/>
        <v>3.2013479359730423E-2</v>
      </c>
      <c r="F34" s="1">
        <f t="shared" si="0"/>
        <v>27786405.5</v>
      </c>
    </row>
    <row r="35" spans="1:6" x14ac:dyDescent="0.3">
      <c r="A35" s="2">
        <v>45379</v>
      </c>
      <c r="B35" s="1">
        <v>23.78</v>
      </c>
      <c r="C35">
        <v>707189</v>
      </c>
      <c r="D35" s="1">
        <v>24.55</v>
      </c>
      <c r="E35" s="5">
        <f t="shared" si="1"/>
        <v>-2.9387755102040725E-2</v>
      </c>
      <c r="F35" s="1">
        <f t="shared" si="0"/>
        <v>16816954.420000002</v>
      </c>
    </row>
    <row r="36" spans="1:6" x14ac:dyDescent="0.3">
      <c r="A36" s="2">
        <v>45383</v>
      </c>
      <c r="B36" s="1">
        <v>22.9</v>
      </c>
      <c r="C36">
        <v>2274695</v>
      </c>
      <c r="D36" s="1">
        <v>23.78</v>
      </c>
      <c r="E36" s="5">
        <f t="shared" si="1"/>
        <v>-3.7005887300252449E-2</v>
      </c>
      <c r="F36" s="1">
        <f t="shared" si="0"/>
        <v>52090515.5</v>
      </c>
    </row>
    <row r="37" spans="1:6" x14ac:dyDescent="0.3">
      <c r="A37" s="2">
        <v>45384</v>
      </c>
      <c r="B37" s="1">
        <v>23.29</v>
      </c>
      <c r="C37">
        <v>1082672</v>
      </c>
      <c r="D37" s="1">
        <v>22.76</v>
      </c>
      <c r="E37" s="5">
        <f t="shared" si="1"/>
        <v>1.7030567685589526E-2</v>
      </c>
      <c r="F37" s="1">
        <f t="shared" si="0"/>
        <v>25215430.879999999</v>
      </c>
    </row>
    <row r="38" spans="1:6" x14ac:dyDescent="0.3">
      <c r="A38" s="2">
        <v>45385</v>
      </c>
      <c r="B38" s="1">
        <v>23.49</v>
      </c>
      <c r="C38">
        <v>1159958</v>
      </c>
      <c r="D38" s="1">
        <v>23.32</v>
      </c>
      <c r="E38" s="5">
        <f t="shared" si="1"/>
        <v>8.587376556461912E-3</v>
      </c>
      <c r="F38" s="1">
        <f t="shared" si="0"/>
        <v>27247413.419999998</v>
      </c>
    </row>
    <row r="39" spans="1:6" x14ac:dyDescent="0.3">
      <c r="A39" s="2">
        <v>45386</v>
      </c>
      <c r="B39" s="1">
        <v>23.39</v>
      </c>
      <c r="C39">
        <v>577941</v>
      </c>
      <c r="D39" s="1">
        <v>23.5</v>
      </c>
      <c r="E39" s="5">
        <f t="shared" si="1"/>
        <v>-4.2571306939122033E-3</v>
      </c>
      <c r="F39" s="1">
        <f t="shared" si="0"/>
        <v>13518039.99</v>
      </c>
    </row>
    <row r="40" spans="1:6" x14ac:dyDescent="0.3">
      <c r="A40" s="2">
        <v>45387</v>
      </c>
      <c r="B40" s="1">
        <v>23.26</v>
      </c>
      <c r="C40">
        <v>412318</v>
      </c>
      <c r="D40" s="1">
        <v>23.31</v>
      </c>
      <c r="E40" s="5">
        <f t="shared" si="1"/>
        <v>-5.5579307396322886E-3</v>
      </c>
      <c r="F40" s="1">
        <f t="shared" si="0"/>
        <v>9590516.6800000016</v>
      </c>
    </row>
    <row r="41" spans="1:6" x14ac:dyDescent="0.3">
      <c r="A41" s="2">
        <v>45390</v>
      </c>
      <c r="B41" s="1">
        <v>22.99</v>
      </c>
      <c r="C41">
        <v>652959</v>
      </c>
      <c r="D41" s="1">
        <v>23.31</v>
      </c>
      <c r="E41" s="5">
        <f t="shared" si="1"/>
        <v>-1.1607910576096447E-2</v>
      </c>
      <c r="F41" s="1">
        <f t="shared" si="0"/>
        <v>15011527.409999998</v>
      </c>
    </row>
    <row r="42" spans="1:6" x14ac:dyDescent="0.3">
      <c r="A42" s="2">
        <v>45391</v>
      </c>
      <c r="B42" s="1">
        <v>21.58</v>
      </c>
      <c r="C42">
        <v>1898193</v>
      </c>
      <c r="D42" s="1">
        <v>22.31</v>
      </c>
      <c r="E42" s="5">
        <f t="shared" si="1"/>
        <v>-6.1331013484123509E-2</v>
      </c>
      <c r="F42" s="1">
        <f t="shared" si="0"/>
        <v>40963004.939999998</v>
      </c>
    </row>
    <row r="43" spans="1:6" x14ac:dyDescent="0.3">
      <c r="A43" s="2">
        <v>45392</v>
      </c>
      <c r="B43" s="1">
        <v>20.63</v>
      </c>
      <c r="C43">
        <v>784737</v>
      </c>
      <c r="D43" s="1">
        <v>21.1</v>
      </c>
      <c r="E43" s="5">
        <f t="shared" si="1"/>
        <v>-4.4022242817423507E-2</v>
      </c>
      <c r="F43" s="1">
        <f t="shared" si="0"/>
        <v>16189124.309999999</v>
      </c>
    </row>
    <row r="44" spans="1:6" x14ac:dyDescent="0.3">
      <c r="A44" s="2">
        <v>45393</v>
      </c>
      <c r="B44" s="1">
        <v>20.5</v>
      </c>
      <c r="C44">
        <v>649607</v>
      </c>
      <c r="D44" s="1">
        <v>20.6</v>
      </c>
      <c r="E44" s="5">
        <f t="shared" si="1"/>
        <v>-6.3015026660203644E-3</v>
      </c>
      <c r="F44" s="1">
        <f t="shared" si="0"/>
        <v>13316943.5</v>
      </c>
    </row>
    <row r="45" spans="1:6" x14ac:dyDescent="0.3">
      <c r="A45" s="2">
        <v>45394</v>
      </c>
      <c r="B45" s="1">
        <v>20.04</v>
      </c>
      <c r="C45">
        <v>1183649</v>
      </c>
      <c r="D45" s="1">
        <v>20.39</v>
      </c>
      <c r="E45" s="5">
        <f t="shared" si="1"/>
        <v>-2.2439024390243922E-2</v>
      </c>
      <c r="F45" s="1">
        <f t="shared" si="0"/>
        <v>23720325.959999997</v>
      </c>
    </row>
    <row r="46" spans="1:6" x14ac:dyDescent="0.3">
      <c r="A46" s="2">
        <v>45397</v>
      </c>
      <c r="B46" s="1">
        <v>20</v>
      </c>
      <c r="C46">
        <v>676352</v>
      </c>
      <c r="D46" s="1">
        <v>20.010000000000002</v>
      </c>
      <c r="E46" s="5">
        <f t="shared" si="1"/>
        <v>-1.9960079840318778E-3</v>
      </c>
      <c r="F46" s="1">
        <f t="shared" si="0"/>
        <v>13527040</v>
      </c>
    </row>
    <row r="47" spans="1:6" x14ac:dyDescent="0.3">
      <c r="A47" s="2">
        <v>45398</v>
      </c>
      <c r="B47" s="1">
        <v>19.46</v>
      </c>
      <c r="C47">
        <v>656260</v>
      </c>
      <c r="D47" s="1">
        <v>19.850000000000001</v>
      </c>
      <c r="E47" s="5">
        <f t="shared" si="1"/>
        <v>-2.6999999999999913E-2</v>
      </c>
      <c r="F47" s="1">
        <f t="shared" si="0"/>
        <v>12770819.600000001</v>
      </c>
    </row>
    <row r="48" spans="1:6" x14ac:dyDescent="0.3">
      <c r="A48" s="2">
        <v>45399</v>
      </c>
      <c r="B48" s="1">
        <v>20.05</v>
      </c>
      <c r="C48">
        <v>1060641</v>
      </c>
      <c r="D48" s="1">
        <v>19.52</v>
      </c>
      <c r="E48" s="5">
        <f t="shared" si="1"/>
        <v>3.0318602261048211E-2</v>
      </c>
      <c r="F48" s="1">
        <f t="shared" si="0"/>
        <v>21265852.050000001</v>
      </c>
    </row>
    <row r="49" spans="1:6" x14ac:dyDescent="0.3">
      <c r="A49" s="2">
        <v>45400</v>
      </c>
      <c r="B49" s="1">
        <v>19.8</v>
      </c>
      <c r="C49">
        <v>1053547</v>
      </c>
      <c r="D49" s="1">
        <v>20.170000000000002</v>
      </c>
      <c r="E49" s="5">
        <f t="shared" si="1"/>
        <v>-1.2468827930174564E-2</v>
      </c>
      <c r="F49" s="1">
        <f t="shared" si="0"/>
        <v>20860230.600000001</v>
      </c>
    </row>
    <row r="50" spans="1:6" x14ac:dyDescent="0.3">
      <c r="A50" s="2">
        <v>45401</v>
      </c>
      <c r="B50" s="1">
        <v>19.899999999999999</v>
      </c>
      <c r="C50">
        <v>834055</v>
      </c>
      <c r="D50" s="1">
        <v>19.89</v>
      </c>
      <c r="E50" s="5">
        <f t="shared" si="1"/>
        <v>5.050505050504972E-3</v>
      </c>
      <c r="F50" s="1">
        <f t="shared" si="0"/>
        <v>16597694.499999998</v>
      </c>
    </row>
    <row r="51" spans="1:6" x14ac:dyDescent="0.3">
      <c r="A51" s="2">
        <v>45404</v>
      </c>
      <c r="B51" s="1">
        <v>20.239999999999998</v>
      </c>
      <c r="C51">
        <v>853237</v>
      </c>
      <c r="D51" s="1">
        <v>19.899999999999999</v>
      </c>
      <c r="E51" s="5">
        <f t="shared" si="1"/>
        <v>1.7085427135678399E-2</v>
      </c>
      <c r="F51" s="1">
        <f t="shared" si="0"/>
        <v>17269516.879999999</v>
      </c>
    </row>
    <row r="52" spans="1:6" x14ac:dyDescent="0.3">
      <c r="A52" s="2">
        <v>45405</v>
      </c>
      <c r="B52" s="1">
        <v>20.05</v>
      </c>
      <c r="C52">
        <v>765668</v>
      </c>
      <c r="D52" s="1">
        <v>20.36</v>
      </c>
      <c r="E52" s="5">
        <f t="shared" si="1"/>
        <v>-9.3873517786560168E-3</v>
      </c>
      <c r="F52" s="1">
        <f t="shared" si="0"/>
        <v>15351643.4</v>
      </c>
    </row>
    <row r="53" spans="1:6" x14ac:dyDescent="0.3">
      <c r="A53" s="2">
        <v>45406</v>
      </c>
      <c r="B53" s="1">
        <v>20.6</v>
      </c>
      <c r="C53">
        <v>1610256</v>
      </c>
      <c r="D53" s="1">
        <v>20.149999999999999</v>
      </c>
      <c r="E53" s="5">
        <f t="shared" si="1"/>
        <v>2.7431421446383997E-2</v>
      </c>
      <c r="F53" s="1">
        <f t="shared" si="0"/>
        <v>33171273.600000001</v>
      </c>
    </row>
    <row r="54" spans="1:6" x14ac:dyDescent="0.3">
      <c r="A54" s="2">
        <v>45407</v>
      </c>
      <c r="B54" s="1">
        <v>20.6</v>
      </c>
      <c r="C54">
        <v>851990</v>
      </c>
      <c r="D54" s="1">
        <v>20.13</v>
      </c>
      <c r="E54" s="5">
        <f t="shared" si="1"/>
        <v>0</v>
      </c>
      <c r="F54" s="1">
        <f t="shared" si="0"/>
        <v>17550994</v>
      </c>
    </row>
    <row r="55" spans="1:6" x14ac:dyDescent="0.3">
      <c r="A55" s="2">
        <v>45408</v>
      </c>
      <c r="B55" s="1">
        <v>23.11</v>
      </c>
      <c r="C55">
        <v>1734573</v>
      </c>
      <c r="D55" s="1">
        <v>20.420000000000002</v>
      </c>
      <c r="E55" s="5">
        <f t="shared" si="1"/>
        <v>0.12184466019417473</v>
      </c>
      <c r="F55" s="1">
        <f t="shared" si="0"/>
        <v>40085982.030000001</v>
      </c>
    </row>
    <row r="56" spans="1:6" x14ac:dyDescent="0.3">
      <c r="A56" s="2">
        <v>45411</v>
      </c>
      <c r="B56" s="1">
        <v>23.2</v>
      </c>
      <c r="C56">
        <v>874366</v>
      </c>
      <c r="D56" s="1">
        <v>23.25</v>
      </c>
      <c r="E56" s="5">
        <f t="shared" si="1"/>
        <v>3.8944180008653184E-3</v>
      </c>
      <c r="F56" s="1">
        <f t="shared" si="0"/>
        <v>20285291.199999999</v>
      </c>
    </row>
    <row r="57" spans="1:6" x14ac:dyDescent="0.3">
      <c r="A57" s="2">
        <v>45412</v>
      </c>
      <c r="B57" s="1">
        <v>22.95</v>
      </c>
      <c r="C57">
        <v>1349166</v>
      </c>
      <c r="D57" s="1">
        <v>23.17</v>
      </c>
      <c r="E57" s="5">
        <f t="shared" si="1"/>
        <v>-1.0775862068965525E-2</v>
      </c>
      <c r="F57" s="1">
        <f t="shared" si="0"/>
        <v>30963359.699999999</v>
      </c>
    </row>
    <row r="58" spans="1:6" x14ac:dyDescent="0.3">
      <c r="A58" s="2">
        <v>45413</v>
      </c>
      <c r="B58" s="1">
        <v>22.59</v>
      </c>
      <c r="C58">
        <v>745724</v>
      </c>
      <c r="D58" s="1">
        <v>22.93</v>
      </c>
      <c r="E58" s="5">
        <f t="shared" si="1"/>
        <v>-1.5686274509803866E-2</v>
      </c>
      <c r="F58" s="1">
        <f t="shared" si="0"/>
        <v>16845905.16</v>
      </c>
    </row>
    <row r="59" spans="1:6" x14ac:dyDescent="0.3">
      <c r="A59" s="2">
        <v>45414</v>
      </c>
      <c r="B59" s="1">
        <v>23</v>
      </c>
      <c r="C59">
        <v>861109</v>
      </c>
      <c r="D59" s="1">
        <v>22.8</v>
      </c>
      <c r="E59" s="5">
        <f t="shared" si="1"/>
        <v>1.814962372731288E-2</v>
      </c>
      <c r="F59" s="1">
        <f t="shared" si="0"/>
        <v>19805507</v>
      </c>
    </row>
    <row r="60" spans="1:6" x14ac:dyDescent="0.3">
      <c r="A60" s="2">
        <v>45415</v>
      </c>
      <c r="B60" s="1">
        <v>24.37</v>
      </c>
      <c r="C60">
        <v>1302115</v>
      </c>
      <c r="D60" s="1">
        <v>23.27</v>
      </c>
      <c r="E60" s="5">
        <f t="shared" si="1"/>
        <v>5.9565217391304381E-2</v>
      </c>
      <c r="F60" s="1">
        <f t="shared" si="0"/>
        <v>31732542.550000001</v>
      </c>
    </row>
    <row r="61" spans="1:6" x14ac:dyDescent="0.3">
      <c r="A61" s="2">
        <v>45418</v>
      </c>
      <c r="B61" s="1">
        <v>26.39</v>
      </c>
      <c r="C61">
        <v>1201005</v>
      </c>
      <c r="D61" s="1">
        <v>24.41</v>
      </c>
      <c r="E61" s="5">
        <f t="shared" si="1"/>
        <v>8.2888797702092676E-2</v>
      </c>
      <c r="F61" s="1">
        <f t="shared" si="0"/>
        <v>31694521.949999999</v>
      </c>
    </row>
    <row r="62" spans="1:6" x14ac:dyDescent="0.3">
      <c r="A62" s="2">
        <v>45419</v>
      </c>
      <c r="B62" s="1">
        <v>25.56</v>
      </c>
      <c r="C62">
        <v>944844</v>
      </c>
      <c r="D62" s="1">
        <v>26.41</v>
      </c>
      <c r="E62" s="5">
        <f t="shared" si="1"/>
        <v>-3.1451307313376309E-2</v>
      </c>
      <c r="F62" s="1">
        <f t="shared" si="0"/>
        <v>24150212.640000001</v>
      </c>
    </row>
    <row r="63" spans="1:6" x14ac:dyDescent="0.3">
      <c r="A63" s="2">
        <v>45420</v>
      </c>
      <c r="B63" s="1">
        <v>25.36</v>
      </c>
      <c r="C63">
        <v>999204</v>
      </c>
      <c r="D63" s="1">
        <v>25.11</v>
      </c>
      <c r="E63" s="5">
        <f t="shared" si="1"/>
        <v>-7.8247261345852914E-3</v>
      </c>
      <c r="F63" s="1">
        <f t="shared" si="0"/>
        <v>25339813.439999998</v>
      </c>
    </row>
    <row r="64" spans="1:6" x14ac:dyDescent="0.3">
      <c r="A64" s="2">
        <v>45421</v>
      </c>
      <c r="B64" s="1">
        <v>25.79</v>
      </c>
      <c r="C64">
        <v>1072120</v>
      </c>
      <c r="D64" s="1">
        <v>25.44</v>
      </c>
      <c r="E64" s="5">
        <f t="shared" si="1"/>
        <v>1.6955835962145116E-2</v>
      </c>
      <c r="F64" s="1">
        <f t="shared" si="0"/>
        <v>27649974.800000001</v>
      </c>
    </row>
    <row r="65" spans="1:6" x14ac:dyDescent="0.3">
      <c r="A65" s="2">
        <v>45422</v>
      </c>
      <c r="B65" s="1">
        <v>25.33</v>
      </c>
      <c r="C65">
        <v>1156762</v>
      </c>
      <c r="D65" s="1">
        <v>25.85</v>
      </c>
      <c r="E65" s="5">
        <f t="shared" si="1"/>
        <v>-1.7836370686312608E-2</v>
      </c>
      <c r="F65" s="1">
        <f t="shared" si="0"/>
        <v>29300781.459999997</v>
      </c>
    </row>
    <row r="66" spans="1:6" x14ac:dyDescent="0.3">
      <c r="A66" s="2">
        <v>45425</v>
      </c>
      <c r="B66" s="1">
        <v>24.99</v>
      </c>
      <c r="C66">
        <v>869531</v>
      </c>
      <c r="D66" s="1">
        <v>25.5</v>
      </c>
      <c r="E66" s="5">
        <f t="shared" si="1"/>
        <v>-1.3422818791946289E-2</v>
      </c>
      <c r="F66" s="1">
        <f t="shared" si="0"/>
        <v>21729579.689999998</v>
      </c>
    </row>
    <row r="67" spans="1:6" x14ac:dyDescent="0.3">
      <c r="A67" s="2">
        <v>45426</v>
      </c>
      <c r="B67" s="1">
        <v>24</v>
      </c>
      <c r="C67">
        <v>967152</v>
      </c>
      <c r="D67" s="1">
        <v>25.14</v>
      </c>
      <c r="E67" s="5">
        <f t="shared" si="1"/>
        <v>-3.9615846338535321E-2</v>
      </c>
      <c r="F67" s="1">
        <f t="shared" ref="F67:F130" si="2">C67*B67</f>
        <v>23211648</v>
      </c>
    </row>
    <row r="68" spans="1:6" x14ac:dyDescent="0.3">
      <c r="A68" s="2">
        <v>45427</v>
      </c>
      <c r="B68" s="1">
        <v>25.71</v>
      </c>
      <c r="C68">
        <v>969169</v>
      </c>
      <c r="D68" s="1">
        <v>24.09</v>
      </c>
      <c r="E68" s="5">
        <f t="shared" ref="E68:E131" si="3">(B68/B67)-1</f>
        <v>7.1250000000000036E-2</v>
      </c>
      <c r="F68" s="1">
        <f t="shared" si="2"/>
        <v>24917334.990000002</v>
      </c>
    </row>
    <row r="69" spans="1:6" x14ac:dyDescent="0.3">
      <c r="A69" s="2">
        <v>45428</v>
      </c>
      <c r="B69" s="1">
        <v>25.26</v>
      </c>
      <c r="C69">
        <v>852197</v>
      </c>
      <c r="D69" s="1">
        <v>25.77</v>
      </c>
      <c r="E69" s="5">
        <f t="shared" si="3"/>
        <v>-1.7502917152858788E-2</v>
      </c>
      <c r="F69" s="1">
        <f t="shared" si="2"/>
        <v>21526496.220000003</v>
      </c>
    </row>
    <row r="70" spans="1:6" x14ac:dyDescent="0.3">
      <c r="A70" s="2">
        <v>45429</v>
      </c>
      <c r="B70" s="1">
        <v>25.49</v>
      </c>
      <c r="C70">
        <v>688991</v>
      </c>
      <c r="D70" s="1">
        <v>25.45</v>
      </c>
      <c r="E70" s="5">
        <f t="shared" si="3"/>
        <v>9.1053048297702333E-3</v>
      </c>
      <c r="F70" s="1">
        <f t="shared" si="2"/>
        <v>17562380.59</v>
      </c>
    </row>
    <row r="71" spans="1:6" x14ac:dyDescent="0.3">
      <c r="A71" s="2">
        <v>45432</v>
      </c>
      <c r="B71" s="1">
        <v>25.08</v>
      </c>
      <c r="C71">
        <v>684731</v>
      </c>
      <c r="D71" s="1">
        <v>25.49</v>
      </c>
      <c r="E71" s="5">
        <f t="shared" si="3"/>
        <v>-1.6084739113377822E-2</v>
      </c>
      <c r="F71" s="1">
        <f t="shared" si="2"/>
        <v>17173053.48</v>
      </c>
    </row>
    <row r="72" spans="1:6" x14ac:dyDescent="0.3">
      <c r="A72" s="2">
        <v>45433</v>
      </c>
      <c r="B72" s="1">
        <v>24.67</v>
      </c>
      <c r="C72">
        <v>795348</v>
      </c>
      <c r="D72" s="1">
        <v>25.14</v>
      </c>
      <c r="E72" s="5">
        <f t="shared" si="3"/>
        <v>-1.6347687400318889E-2</v>
      </c>
      <c r="F72" s="1">
        <f t="shared" si="2"/>
        <v>19621235.16</v>
      </c>
    </row>
    <row r="73" spans="1:6" x14ac:dyDescent="0.3">
      <c r="A73" s="2">
        <v>45434</v>
      </c>
      <c r="B73" s="1">
        <v>24.63</v>
      </c>
      <c r="C73">
        <v>910597</v>
      </c>
      <c r="D73" s="1">
        <v>24.46</v>
      </c>
      <c r="E73" s="5">
        <f t="shared" si="3"/>
        <v>-1.6214025131739973E-3</v>
      </c>
      <c r="F73" s="1">
        <f t="shared" si="2"/>
        <v>22428004.109999999</v>
      </c>
    </row>
    <row r="74" spans="1:6" x14ac:dyDescent="0.3">
      <c r="A74" s="2">
        <v>45435</v>
      </c>
      <c r="B74" s="1">
        <v>28.03</v>
      </c>
      <c r="C74">
        <v>2318974</v>
      </c>
      <c r="D74" s="1">
        <v>26.09</v>
      </c>
      <c r="E74" s="5">
        <f t="shared" si="3"/>
        <v>0.13804303694681286</v>
      </c>
      <c r="F74" s="1">
        <f t="shared" si="2"/>
        <v>65000841.220000006</v>
      </c>
    </row>
    <row r="75" spans="1:6" x14ac:dyDescent="0.3">
      <c r="A75" s="2">
        <v>45436</v>
      </c>
      <c r="B75" s="1">
        <v>28.24</v>
      </c>
      <c r="C75">
        <v>972707</v>
      </c>
      <c r="D75" s="1">
        <v>28.05</v>
      </c>
      <c r="E75" s="5">
        <f t="shared" si="3"/>
        <v>7.4919728861932988E-3</v>
      </c>
      <c r="F75" s="1">
        <f t="shared" si="2"/>
        <v>27469245.68</v>
      </c>
    </row>
    <row r="76" spans="1:6" x14ac:dyDescent="0.3">
      <c r="A76" s="2">
        <v>45440</v>
      </c>
      <c r="B76" s="1">
        <v>26.8</v>
      </c>
      <c r="C76">
        <v>1183181</v>
      </c>
      <c r="D76" s="1">
        <v>28.61</v>
      </c>
      <c r="E76" s="5">
        <f t="shared" si="3"/>
        <v>-5.0991501416430496E-2</v>
      </c>
      <c r="F76" s="1">
        <f t="shared" si="2"/>
        <v>31709250.800000001</v>
      </c>
    </row>
    <row r="77" spans="1:6" x14ac:dyDescent="0.3">
      <c r="A77" s="2">
        <v>45441</v>
      </c>
      <c r="B77" s="1">
        <v>27</v>
      </c>
      <c r="C77">
        <v>1158561</v>
      </c>
      <c r="D77" s="1">
        <v>26.34</v>
      </c>
      <c r="E77" s="5">
        <f t="shared" si="3"/>
        <v>7.4626865671640896E-3</v>
      </c>
      <c r="F77" s="1">
        <f t="shared" si="2"/>
        <v>31281147</v>
      </c>
    </row>
    <row r="78" spans="1:6" x14ac:dyDescent="0.3">
      <c r="A78" s="2">
        <v>45442</v>
      </c>
      <c r="B78" s="1">
        <v>27.04</v>
      </c>
      <c r="C78">
        <v>1043564</v>
      </c>
      <c r="D78" s="1">
        <v>27.1</v>
      </c>
      <c r="E78" s="5">
        <f t="shared" si="3"/>
        <v>1.481481481481417E-3</v>
      </c>
      <c r="F78" s="1">
        <f t="shared" si="2"/>
        <v>28217970.559999999</v>
      </c>
    </row>
    <row r="79" spans="1:6" x14ac:dyDescent="0.3">
      <c r="A79" s="2">
        <v>45443</v>
      </c>
      <c r="B79" s="1">
        <v>27.24</v>
      </c>
      <c r="C79">
        <v>996189</v>
      </c>
      <c r="D79" s="1">
        <v>27.32</v>
      </c>
      <c r="E79" s="5">
        <f t="shared" si="3"/>
        <v>7.3964497041418831E-3</v>
      </c>
      <c r="F79" s="1">
        <f t="shared" si="2"/>
        <v>27136188.359999999</v>
      </c>
    </row>
    <row r="80" spans="1:6" x14ac:dyDescent="0.3">
      <c r="A80" s="2">
        <v>45446</v>
      </c>
      <c r="B80" s="1">
        <v>24.88</v>
      </c>
      <c r="C80">
        <v>1506494</v>
      </c>
      <c r="D80" s="1">
        <v>26.89</v>
      </c>
      <c r="E80" s="5">
        <f t="shared" si="3"/>
        <v>-8.6637298091042592E-2</v>
      </c>
      <c r="F80" s="1">
        <f t="shared" si="2"/>
        <v>37481570.719999999</v>
      </c>
    </row>
    <row r="81" spans="1:6" x14ac:dyDescent="0.3">
      <c r="A81" s="2">
        <v>45447</v>
      </c>
      <c r="B81" s="1">
        <v>24.12</v>
      </c>
      <c r="C81">
        <v>2016572</v>
      </c>
      <c r="D81" s="1">
        <v>24.72</v>
      </c>
      <c r="E81" s="5">
        <f t="shared" si="3"/>
        <v>-3.0546623794212135E-2</v>
      </c>
      <c r="F81" s="1">
        <f t="shared" si="2"/>
        <v>48639716.640000001</v>
      </c>
    </row>
    <row r="82" spans="1:6" x14ac:dyDescent="0.3">
      <c r="A82" s="2">
        <v>45448</v>
      </c>
      <c r="B82" s="1">
        <v>23.95</v>
      </c>
      <c r="C82">
        <v>1367643</v>
      </c>
      <c r="D82" s="1">
        <v>24.9</v>
      </c>
      <c r="E82" s="5">
        <f t="shared" si="3"/>
        <v>-7.0480928689884426E-3</v>
      </c>
      <c r="F82" s="1">
        <f t="shared" si="2"/>
        <v>32755049.849999998</v>
      </c>
    </row>
    <row r="83" spans="1:6" x14ac:dyDescent="0.3">
      <c r="A83" s="2">
        <v>45449</v>
      </c>
      <c r="B83" s="1">
        <v>24.06</v>
      </c>
      <c r="C83">
        <v>1452426</v>
      </c>
      <c r="D83" s="1">
        <v>23.71</v>
      </c>
      <c r="E83" s="5">
        <f t="shared" si="3"/>
        <v>4.5929018789143683E-3</v>
      </c>
      <c r="F83" s="1">
        <f t="shared" si="2"/>
        <v>34945369.559999995</v>
      </c>
    </row>
    <row r="84" spans="1:6" x14ac:dyDescent="0.3">
      <c r="A84" s="2">
        <v>45450</v>
      </c>
      <c r="B84" s="1">
        <v>23.06</v>
      </c>
      <c r="C84">
        <v>1304987</v>
      </c>
      <c r="D84" s="1">
        <v>23.75</v>
      </c>
      <c r="E84" s="5">
        <f t="shared" si="3"/>
        <v>-4.1562759767248547E-2</v>
      </c>
      <c r="F84" s="1">
        <f t="shared" si="2"/>
        <v>30093000.219999999</v>
      </c>
    </row>
    <row r="85" spans="1:6" x14ac:dyDescent="0.3">
      <c r="A85" s="2">
        <v>45453</v>
      </c>
      <c r="B85" s="1">
        <v>23.02</v>
      </c>
      <c r="C85">
        <v>431748</v>
      </c>
      <c r="D85" s="1">
        <v>23.06</v>
      </c>
      <c r="E85" s="5">
        <f t="shared" si="3"/>
        <v>-1.7346053772766545E-3</v>
      </c>
      <c r="F85" s="1">
        <f t="shared" si="2"/>
        <v>9938838.959999999</v>
      </c>
    </row>
    <row r="86" spans="1:6" x14ac:dyDescent="0.3">
      <c r="A86" s="2">
        <v>45454</v>
      </c>
      <c r="B86" s="1">
        <v>23.01</v>
      </c>
      <c r="C86">
        <v>291280</v>
      </c>
      <c r="D86" s="1">
        <v>23.09</v>
      </c>
      <c r="E86" s="5">
        <f t="shared" si="3"/>
        <v>-4.3440486533441458E-4</v>
      </c>
      <c r="F86" s="1">
        <f t="shared" si="2"/>
        <v>6702352.8000000007</v>
      </c>
    </row>
    <row r="87" spans="1:6" x14ac:dyDescent="0.3">
      <c r="A87" s="2">
        <v>45455</v>
      </c>
      <c r="B87" s="1">
        <v>22.99</v>
      </c>
      <c r="C87">
        <v>625835</v>
      </c>
      <c r="D87" s="1">
        <v>23.21</v>
      </c>
      <c r="E87" s="5">
        <f t="shared" si="3"/>
        <v>-8.691873098654046E-4</v>
      </c>
      <c r="F87" s="1">
        <f t="shared" si="2"/>
        <v>14387946.649999999</v>
      </c>
    </row>
    <row r="88" spans="1:6" x14ac:dyDescent="0.3">
      <c r="A88" s="2">
        <v>45456</v>
      </c>
      <c r="B88" s="1">
        <v>22.81</v>
      </c>
      <c r="C88">
        <v>504212</v>
      </c>
      <c r="D88" s="1">
        <v>23.04</v>
      </c>
      <c r="E88" s="5">
        <f t="shared" si="3"/>
        <v>-7.8294910830796205E-3</v>
      </c>
      <c r="F88" s="1">
        <f t="shared" si="2"/>
        <v>11501075.719999999</v>
      </c>
    </row>
    <row r="89" spans="1:6" x14ac:dyDescent="0.3">
      <c r="A89" s="2">
        <v>45457</v>
      </c>
      <c r="B89" s="1">
        <v>22.08</v>
      </c>
      <c r="C89">
        <v>711329</v>
      </c>
      <c r="D89" s="1">
        <v>22.62</v>
      </c>
      <c r="E89" s="5">
        <f t="shared" si="3"/>
        <v>-3.2003507233669515E-2</v>
      </c>
      <c r="F89" s="1">
        <f t="shared" si="2"/>
        <v>15706144.319999998</v>
      </c>
    </row>
    <row r="90" spans="1:6" x14ac:dyDescent="0.3">
      <c r="A90" s="2">
        <v>45460</v>
      </c>
      <c r="B90" s="1">
        <v>21.58</v>
      </c>
      <c r="C90">
        <v>662958</v>
      </c>
      <c r="D90" s="1">
        <v>22.05</v>
      </c>
      <c r="E90" s="5">
        <f t="shared" si="3"/>
        <v>-2.2644927536231929E-2</v>
      </c>
      <c r="F90" s="1">
        <f t="shared" si="2"/>
        <v>14306633.639999999</v>
      </c>
    </row>
    <row r="91" spans="1:6" x14ac:dyDescent="0.3">
      <c r="A91" s="2">
        <v>45461</v>
      </c>
      <c r="B91" s="1">
        <v>21.96</v>
      </c>
      <c r="C91">
        <v>690375</v>
      </c>
      <c r="D91" s="1">
        <v>21.5</v>
      </c>
      <c r="E91" s="5">
        <f t="shared" si="3"/>
        <v>1.7608897126969447E-2</v>
      </c>
      <c r="F91" s="1">
        <f t="shared" si="2"/>
        <v>15160635</v>
      </c>
    </row>
    <row r="92" spans="1:6" x14ac:dyDescent="0.3">
      <c r="A92" s="2">
        <v>45463</v>
      </c>
      <c r="B92" s="1">
        <v>22.14</v>
      </c>
      <c r="C92">
        <v>1117829</v>
      </c>
      <c r="D92" s="1">
        <v>21.95</v>
      </c>
      <c r="E92" s="5">
        <f t="shared" si="3"/>
        <v>8.1967213114753079E-3</v>
      </c>
      <c r="F92" s="1">
        <f t="shared" si="2"/>
        <v>24748734.060000002</v>
      </c>
    </row>
    <row r="93" spans="1:6" x14ac:dyDescent="0.3">
      <c r="A93" s="2">
        <v>45464</v>
      </c>
      <c r="B93" s="1">
        <v>23.41</v>
      </c>
      <c r="C93">
        <v>1675434</v>
      </c>
      <c r="D93" s="1">
        <v>22.24</v>
      </c>
      <c r="E93" s="5">
        <f t="shared" si="3"/>
        <v>5.7362240289069444E-2</v>
      </c>
      <c r="F93" s="1">
        <f t="shared" si="2"/>
        <v>39221909.939999998</v>
      </c>
    </row>
    <row r="94" spans="1:6" x14ac:dyDescent="0.3">
      <c r="A94" s="2">
        <v>45467</v>
      </c>
      <c r="B94" s="1">
        <v>22.74</v>
      </c>
      <c r="C94">
        <v>649994</v>
      </c>
      <c r="D94" s="1">
        <v>23.5</v>
      </c>
      <c r="E94" s="5">
        <f t="shared" si="3"/>
        <v>-2.8620247757368711E-2</v>
      </c>
      <c r="F94" s="1">
        <f t="shared" si="2"/>
        <v>14780863.559999999</v>
      </c>
    </row>
    <row r="95" spans="1:6" x14ac:dyDescent="0.3">
      <c r="A95" s="2">
        <v>45468</v>
      </c>
      <c r="B95" s="1">
        <v>23.17</v>
      </c>
      <c r="C95">
        <v>1003381</v>
      </c>
      <c r="D95" s="1">
        <v>22.65</v>
      </c>
      <c r="E95" s="5">
        <f t="shared" si="3"/>
        <v>1.8909410729991416E-2</v>
      </c>
      <c r="F95" s="1">
        <f t="shared" si="2"/>
        <v>23248337.770000003</v>
      </c>
    </row>
    <row r="96" spans="1:6" x14ac:dyDescent="0.3">
      <c r="A96" s="2">
        <v>45469</v>
      </c>
      <c r="B96" s="1">
        <v>23.03</v>
      </c>
      <c r="C96">
        <v>795392</v>
      </c>
      <c r="D96" s="1">
        <v>23.03</v>
      </c>
      <c r="E96" s="5">
        <f t="shared" si="3"/>
        <v>-6.0422960725076136E-3</v>
      </c>
      <c r="F96" s="1">
        <f t="shared" si="2"/>
        <v>18317877.760000002</v>
      </c>
    </row>
    <row r="97" spans="1:6" x14ac:dyDescent="0.3">
      <c r="A97" s="2">
        <v>45470</v>
      </c>
      <c r="B97" s="1">
        <v>23.97</v>
      </c>
      <c r="C97">
        <v>1611603</v>
      </c>
      <c r="D97" s="1">
        <v>22.76</v>
      </c>
      <c r="E97" s="5">
        <f t="shared" si="3"/>
        <v>4.0816326530612068E-2</v>
      </c>
      <c r="F97" s="1">
        <f t="shared" si="2"/>
        <v>38630123.909999996</v>
      </c>
    </row>
    <row r="98" spans="1:6" x14ac:dyDescent="0.3">
      <c r="A98" s="2">
        <v>45471</v>
      </c>
      <c r="B98" s="1">
        <v>23.86</v>
      </c>
      <c r="C98">
        <v>1674776</v>
      </c>
      <c r="D98" s="1">
        <v>24.01</v>
      </c>
      <c r="E98" s="5">
        <f t="shared" si="3"/>
        <v>-4.5890696704213862E-3</v>
      </c>
      <c r="F98" s="1">
        <f t="shared" si="2"/>
        <v>39960155.359999999</v>
      </c>
    </row>
    <row r="99" spans="1:6" x14ac:dyDescent="0.3">
      <c r="A99" s="2">
        <v>45474</v>
      </c>
      <c r="B99" s="1">
        <v>23.5</v>
      </c>
      <c r="C99">
        <v>1537275</v>
      </c>
      <c r="D99" s="1">
        <v>23.67</v>
      </c>
      <c r="E99" s="5">
        <f t="shared" si="3"/>
        <v>-1.5088013411567402E-2</v>
      </c>
      <c r="F99" s="1">
        <f t="shared" si="2"/>
        <v>36125962.5</v>
      </c>
    </row>
    <row r="100" spans="1:6" x14ac:dyDescent="0.3">
      <c r="A100" s="2">
        <v>45475</v>
      </c>
      <c r="B100" s="1">
        <v>23.54</v>
      </c>
      <c r="C100">
        <v>695987</v>
      </c>
      <c r="D100" s="1">
        <v>23.53</v>
      </c>
      <c r="E100" s="5">
        <f t="shared" si="3"/>
        <v>1.7021276595743373E-3</v>
      </c>
      <c r="F100" s="1">
        <f t="shared" si="2"/>
        <v>16383533.979999999</v>
      </c>
    </row>
    <row r="101" spans="1:6" x14ac:dyDescent="0.3">
      <c r="A101" s="2">
        <v>45476</v>
      </c>
      <c r="B101" s="1">
        <v>23.35</v>
      </c>
      <c r="C101">
        <v>412010</v>
      </c>
      <c r="D101" s="1">
        <v>23.63</v>
      </c>
      <c r="E101" s="5">
        <f t="shared" si="3"/>
        <v>-8.0713678844519521E-3</v>
      </c>
      <c r="F101" s="1">
        <f t="shared" si="2"/>
        <v>9620433.5</v>
      </c>
    </row>
    <row r="102" spans="1:6" x14ac:dyDescent="0.3">
      <c r="A102" s="2">
        <v>45478</v>
      </c>
      <c r="B102" s="1">
        <v>23.72</v>
      </c>
      <c r="C102">
        <v>473570</v>
      </c>
      <c r="D102" s="1">
        <v>23.83</v>
      </c>
      <c r="E102" s="5">
        <f t="shared" si="3"/>
        <v>1.5845824411134801E-2</v>
      </c>
      <c r="F102" s="1">
        <f t="shared" si="2"/>
        <v>11233080.4</v>
      </c>
    </row>
    <row r="103" spans="1:6" x14ac:dyDescent="0.3">
      <c r="A103" s="2">
        <v>45481</v>
      </c>
      <c r="B103" s="1">
        <v>24.49</v>
      </c>
      <c r="C103">
        <v>586086</v>
      </c>
      <c r="D103" s="1">
        <v>23.87</v>
      </c>
      <c r="E103" s="5">
        <f t="shared" si="3"/>
        <v>3.2462057335581829E-2</v>
      </c>
      <c r="F103" s="1">
        <f t="shared" si="2"/>
        <v>14353246.139999999</v>
      </c>
    </row>
    <row r="104" spans="1:6" x14ac:dyDescent="0.3">
      <c r="A104" s="2">
        <v>45482</v>
      </c>
      <c r="B104" s="1">
        <v>24.34</v>
      </c>
      <c r="C104">
        <v>533046</v>
      </c>
      <c r="D104" s="1">
        <v>24.49</v>
      </c>
      <c r="E104" s="5">
        <f t="shared" si="3"/>
        <v>-6.1249489587585915E-3</v>
      </c>
      <c r="F104" s="1">
        <f t="shared" si="2"/>
        <v>12974339.640000001</v>
      </c>
    </row>
    <row r="105" spans="1:6" x14ac:dyDescent="0.3">
      <c r="A105" s="2">
        <v>45483</v>
      </c>
      <c r="B105" s="1">
        <v>23.77</v>
      </c>
      <c r="C105">
        <v>695898</v>
      </c>
      <c r="D105" s="1">
        <v>24.8</v>
      </c>
      <c r="E105" s="5">
        <f t="shared" si="3"/>
        <v>-2.3418241577649934E-2</v>
      </c>
      <c r="F105" s="1">
        <f t="shared" si="2"/>
        <v>16541495.459999999</v>
      </c>
    </row>
    <row r="106" spans="1:6" x14ac:dyDescent="0.3">
      <c r="A106" s="2">
        <v>45484</v>
      </c>
      <c r="B106" s="1">
        <v>24.95</v>
      </c>
      <c r="C106">
        <v>668918</v>
      </c>
      <c r="D106" s="1">
        <v>23.94</v>
      </c>
      <c r="E106" s="5">
        <f t="shared" si="3"/>
        <v>4.9642406394615035E-2</v>
      </c>
      <c r="F106" s="1">
        <f t="shared" si="2"/>
        <v>16689504.1</v>
      </c>
    </row>
    <row r="107" spans="1:6" x14ac:dyDescent="0.3">
      <c r="A107" s="2">
        <v>45485</v>
      </c>
      <c r="B107" s="1">
        <v>25.37</v>
      </c>
      <c r="C107">
        <v>303720</v>
      </c>
      <c r="D107" s="1">
        <v>24.98</v>
      </c>
      <c r="E107" s="5">
        <f t="shared" si="3"/>
        <v>1.68336673346694E-2</v>
      </c>
      <c r="F107" s="1">
        <f t="shared" si="2"/>
        <v>7705376.4000000004</v>
      </c>
    </row>
    <row r="108" spans="1:6" x14ac:dyDescent="0.3">
      <c r="A108" s="2">
        <v>45488</v>
      </c>
      <c r="B108" s="1">
        <v>25.05</v>
      </c>
      <c r="C108">
        <v>234996</v>
      </c>
      <c r="D108" s="1">
        <v>25.21</v>
      </c>
      <c r="E108" s="5">
        <f t="shared" si="3"/>
        <v>-1.2613322822231043E-2</v>
      </c>
      <c r="F108" s="1">
        <f t="shared" si="2"/>
        <v>5886649.7999999998</v>
      </c>
    </row>
    <row r="109" spans="1:6" x14ac:dyDescent="0.3">
      <c r="A109" s="2">
        <v>45489</v>
      </c>
      <c r="B109" s="1">
        <v>25.55</v>
      </c>
      <c r="C109">
        <v>354005</v>
      </c>
      <c r="D109" s="1">
        <v>25.3</v>
      </c>
      <c r="E109" s="5">
        <f t="shared" si="3"/>
        <v>1.9960079840319445E-2</v>
      </c>
      <c r="F109" s="1">
        <f t="shared" si="2"/>
        <v>9044827.75</v>
      </c>
    </row>
    <row r="110" spans="1:6" x14ac:dyDescent="0.3">
      <c r="A110" s="2">
        <v>45490</v>
      </c>
      <c r="B110" s="1">
        <v>26.32</v>
      </c>
      <c r="C110">
        <v>960037</v>
      </c>
      <c r="D110" s="1">
        <v>25.25</v>
      </c>
      <c r="E110" s="5">
        <f t="shared" si="3"/>
        <v>3.013698630136985E-2</v>
      </c>
      <c r="F110" s="1">
        <f t="shared" si="2"/>
        <v>25268173.84</v>
      </c>
    </row>
    <row r="111" spans="1:6" x14ac:dyDescent="0.3">
      <c r="A111" s="2">
        <v>45491</v>
      </c>
      <c r="B111" s="1">
        <v>25.99</v>
      </c>
      <c r="C111">
        <v>804433</v>
      </c>
      <c r="D111" s="1">
        <v>26.18</v>
      </c>
      <c r="E111" s="5">
        <f t="shared" si="3"/>
        <v>-1.2537993920972768E-2</v>
      </c>
      <c r="F111" s="1">
        <f t="shared" si="2"/>
        <v>20907213.669999998</v>
      </c>
    </row>
    <row r="112" spans="1:6" x14ac:dyDescent="0.3">
      <c r="A112" s="2">
        <v>45492</v>
      </c>
      <c r="B112" s="1">
        <v>26.01</v>
      </c>
      <c r="C112">
        <v>434360</v>
      </c>
      <c r="D112" s="1">
        <v>26</v>
      </c>
      <c r="E112" s="5">
        <f t="shared" si="3"/>
        <v>7.6952674105434937E-4</v>
      </c>
      <c r="F112" s="1">
        <f t="shared" si="2"/>
        <v>11297703.600000001</v>
      </c>
    </row>
    <row r="113" spans="1:6" x14ac:dyDescent="0.3">
      <c r="A113" s="2">
        <v>45495</v>
      </c>
      <c r="B113" s="1">
        <v>26.35</v>
      </c>
      <c r="C113">
        <v>476612</v>
      </c>
      <c r="D113" s="1">
        <v>26.23</v>
      </c>
      <c r="E113" s="5">
        <f t="shared" si="3"/>
        <v>1.3071895424836555E-2</v>
      </c>
      <c r="F113" s="1">
        <f t="shared" si="2"/>
        <v>12558726.200000001</v>
      </c>
    </row>
    <row r="114" spans="1:6" x14ac:dyDescent="0.3">
      <c r="A114" s="2">
        <v>45496</v>
      </c>
      <c r="B114" s="1">
        <v>26.06</v>
      </c>
      <c r="C114">
        <v>361556</v>
      </c>
      <c r="D114" s="1">
        <v>26.31</v>
      </c>
      <c r="E114" s="5">
        <f t="shared" si="3"/>
        <v>-1.1005692599620587E-2</v>
      </c>
      <c r="F114" s="1">
        <f t="shared" si="2"/>
        <v>9422149.3599999994</v>
      </c>
    </row>
    <row r="115" spans="1:6" x14ac:dyDescent="0.3">
      <c r="A115" s="2">
        <v>45497</v>
      </c>
      <c r="B115" s="1">
        <v>25.65</v>
      </c>
      <c r="C115">
        <v>1058231</v>
      </c>
      <c r="D115" s="1">
        <v>26.14</v>
      </c>
      <c r="E115" s="5">
        <f t="shared" si="3"/>
        <v>-1.5732924021488848E-2</v>
      </c>
      <c r="F115" s="1">
        <f t="shared" si="2"/>
        <v>27143625.149999999</v>
      </c>
    </row>
    <row r="116" spans="1:6" x14ac:dyDescent="0.3">
      <c r="A116" s="2">
        <v>45498</v>
      </c>
      <c r="B116" s="1">
        <v>26.15</v>
      </c>
      <c r="C116">
        <v>580835</v>
      </c>
      <c r="D116" s="1">
        <v>25.65</v>
      </c>
      <c r="E116" s="5">
        <f t="shared" si="3"/>
        <v>1.949317738791434E-2</v>
      </c>
      <c r="F116" s="1">
        <f t="shared" si="2"/>
        <v>15188835.25</v>
      </c>
    </row>
    <row r="117" spans="1:6" x14ac:dyDescent="0.3">
      <c r="A117" s="2">
        <v>45499</v>
      </c>
      <c r="B117" s="1">
        <v>26.9</v>
      </c>
      <c r="C117">
        <v>781371</v>
      </c>
      <c r="D117" s="1">
        <v>26.39</v>
      </c>
      <c r="E117" s="5">
        <f t="shared" si="3"/>
        <v>2.8680688336520044E-2</v>
      </c>
      <c r="F117" s="1">
        <f t="shared" si="2"/>
        <v>21018879.899999999</v>
      </c>
    </row>
    <row r="118" spans="1:6" x14ac:dyDescent="0.3">
      <c r="A118" s="2">
        <v>45502</v>
      </c>
      <c r="B118" s="1">
        <v>26.69</v>
      </c>
      <c r="C118">
        <v>238526</v>
      </c>
      <c r="D118" s="1">
        <v>26.94</v>
      </c>
      <c r="E118" s="5">
        <f t="shared" si="3"/>
        <v>-7.8066914498140516E-3</v>
      </c>
      <c r="F118" s="1">
        <f t="shared" si="2"/>
        <v>6366258.9400000004</v>
      </c>
    </row>
    <row r="119" spans="1:6" x14ac:dyDescent="0.3">
      <c r="A119" s="2">
        <v>45503</v>
      </c>
      <c r="B119" s="1">
        <v>26.96</v>
      </c>
      <c r="C119">
        <v>468851</v>
      </c>
      <c r="D119" s="1">
        <v>26.68</v>
      </c>
      <c r="E119" s="5">
        <f t="shared" si="3"/>
        <v>1.0116148370176159E-2</v>
      </c>
      <c r="F119" s="1">
        <f t="shared" si="2"/>
        <v>12640222.960000001</v>
      </c>
    </row>
    <row r="120" spans="1:6" x14ac:dyDescent="0.3">
      <c r="A120" s="2">
        <v>45504</v>
      </c>
      <c r="B120" s="1">
        <v>27.15</v>
      </c>
      <c r="C120">
        <v>594344</v>
      </c>
      <c r="D120" s="1">
        <v>26.92</v>
      </c>
      <c r="E120" s="5">
        <f t="shared" si="3"/>
        <v>7.0474777448070736E-3</v>
      </c>
      <c r="F120" s="1">
        <f t="shared" si="2"/>
        <v>16136439.6</v>
      </c>
    </row>
    <row r="121" spans="1:6" x14ac:dyDescent="0.3">
      <c r="A121" s="2">
        <v>45505</v>
      </c>
      <c r="B121" s="1">
        <v>27.05</v>
      </c>
      <c r="C121">
        <v>344125</v>
      </c>
      <c r="D121" s="1">
        <v>27.32</v>
      </c>
      <c r="E121" s="5">
        <f t="shared" si="3"/>
        <v>-3.6832412523019054E-3</v>
      </c>
      <c r="F121" s="1">
        <f t="shared" si="2"/>
        <v>9308581.25</v>
      </c>
    </row>
    <row r="122" spans="1:6" x14ac:dyDescent="0.3">
      <c r="A122" s="2">
        <v>45506</v>
      </c>
      <c r="B122" s="1">
        <v>25.65</v>
      </c>
      <c r="C122">
        <v>540658</v>
      </c>
      <c r="D122" s="1">
        <v>26.51</v>
      </c>
      <c r="E122" s="5">
        <f t="shared" si="3"/>
        <v>-5.1756007393715442E-2</v>
      </c>
      <c r="F122" s="1">
        <f t="shared" si="2"/>
        <v>13867877.699999999</v>
      </c>
    </row>
    <row r="123" spans="1:6" x14ac:dyDescent="0.3">
      <c r="A123" s="2">
        <v>45509</v>
      </c>
      <c r="B123" s="1">
        <v>24.58</v>
      </c>
      <c r="C123">
        <v>696287</v>
      </c>
      <c r="D123" s="1">
        <v>24.324999999999999</v>
      </c>
      <c r="E123" s="5">
        <f t="shared" si="3"/>
        <v>-4.1715399610136483E-2</v>
      </c>
      <c r="F123" s="1">
        <f t="shared" si="2"/>
        <v>17114734.459999997</v>
      </c>
    </row>
    <row r="124" spans="1:6" x14ac:dyDescent="0.3">
      <c r="A124" s="2">
        <v>45510</v>
      </c>
      <c r="B124" s="1">
        <v>24.91</v>
      </c>
      <c r="C124">
        <v>556925</v>
      </c>
      <c r="D124" s="1">
        <v>24.65</v>
      </c>
      <c r="E124" s="5">
        <f t="shared" si="3"/>
        <v>1.3425549227013889E-2</v>
      </c>
      <c r="F124" s="1">
        <f t="shared" si="2"/>
        <v>13873001.75</v>
      </c>
    </row>
    <row r="125" spans="1:6" x14ac:dyDescent="0.3">
      <c r="A125" s="2">
        <v>45511</v>
      </c>
      <c r="B125" s="1">
        <v>26.12</v>
      </c>
      <c r="C125">
        <v>690362</v>
      </c>
      <c r="D125" s="1">
        <v>25.1</v>
      </c>
      <c r="E125" s="5">
        <f t="shared" si="3"/>
        <v>4.8574869530309206E-2</v>
      </c>
      <c r="F125" s="1">
        <f t="shared" si="2"/>
        <v>18032255.440000001</v>
      </c>
    </row>
    <row r="126" spans="1:6" x14ac:dyDescent="0.3">
      <c r="A126" s="2">
        <v>45512</v>
      </c>
      <c r="B126" s="1">
        <v>27.01</v>
      </c>
      <c r="C126">
        <v>397689</v>
      </c>
      <c r="D126" s="1">
        <v>26.06</v>
      </c>
      <c r="E126" s="5">
        <f t="shared" si="3"/>
        <v>3.4073506891270977E-2</v>
      </c>
      <c r="F126" s="1">
        <f t="shared" si="2"/>
        <v>10741579.890000001</v>
      </c>
    </row>
    <row r="127" spans="1:6" x14ac:dyDescent="0.3">
      <c r="A127" s="2">
        <v>45513</v>
      </c>
      <c r="B127" s="1">
        <v>27.03</v>
      </c>
      <c r="C127">
        <v>393733</v>
      </c>
      <c r="D127" s="1">
        <v>26.79</v>
      </c>
      <c r="E127" s="5">
        <f t="shared" si="3"/>
        <v>7.4046649389103436E-4</v>
      </c>
      <c r="F127" s="1">
        <f t="shared" si="2"/>
        <v>10642602.99</v>
      </c>
    </row>
    <row r="128" spans="1:6" x14ac:dyDescent="0.3">
      <c r="A128" s="2">
        <v>45516</v>
      </c>
      <c r="B128" s="1">
        <v>27.06</v>
      </c>
      <c r="C128">
        <v>204554</v>
      </c>
      <c r="D128" s="1">
        <v>26.88</v>
      </c>
      <c r="E128" s="5">
        <f t="shared" si="3"/>
        <v>1.1098779134295356E-3</v>
      </c>
      <c r="F128" s="1">
        <f t="shared" si="2"/>
        <v>5535231.2399999993</v>
      </c>
    </row>
    <row r="129" spans="1:6" x14ac:dyDescent="0.3">
      <c r="A129" s="2">
        <v>45517</v>
      </c>
      <c r="B129" s="1">
        <v>27.41</v>
      </c>
      <c r="C129">
        <v>210690</v>
      </c>
      <c r="D129" s="1">
        <v>27.36</v>
      </c>
      <c r="E129" s="5">
        <f t="shared" si="3"/>
        <v>1.2934220251293427E-2</v>
      </c>
      <c r="F129" s="1">
        <f t="shared" si="2"/>
        <v>5775012.9000000004</v>
      </c>
    </row>
    <row r="130" spans="1:6" x14ac:dyDescent="0.3">
      <c r="A130" s="2">
        <v>45518</v>
      </c>
      <c r="B130" s="1">
        <v>28</v>
      </c>
      <c r="C130">
        <v>275614</v>
      </c>
      <c r="D130" s="1">
        <v>27.55</v>
      </c>
      <c r="E130" s="5">
        <f t="shared" si="3"/>
        <v>2.1524990879241201E-2</v>
      </c>
      <c r="F130" s="1">
        <f t="shared" si="2"/>
        <v>7717192</v>
      </c>
    </row>
    <row r="131" spans="1:6" x14ac:dyDescent="0.3">
      <c r="A131" s="2">
        <v>45519</v>
      </c>
      <c r="B131" s="1">
        <v>28.43</v>
      </c>
      <c r="C131">
        <v>347339</v>
      </c>
      <c r="D131" s="1">
        <v>28.41</v>
      </c>
      <c r="E131" s="5">
        <f t="shared" si="3"/>
        <v>1.5357142857142847E-2</v>
      </c>
      <c r="F131" s="1">
        <f t="shared" ref="F131:F194" si="4">C131*B131</f>
        <v>9874847.7699999996</v>
      </c>
    </row>
    <row r="132" spans="1:6" x14ac:dyDescent="0.3">
      <c r="A132" s="2">
        <v>45520</v>
      </c>
      <c r="B132" s="1">
        <v>28.65</v>
      </c>
      <c r="C132">
        <v>255916</v>
      </c>
      <c r="D132" s="1">
        <v>28.36</v>
      </c>
      <c r="E132" s="5">
        <f t="shared" ref="E132:E195" si="5">(B132/B131)-1</f>
        <v>7.7383046078085549E-3</v>
      </c>
      <c r="F132" s="1">
        <f t="shared" si="4"/>
        <v>7331993.3999999994</v>
      </c>
    </row>
    <row r="133" spans="1:6" x14ac:dyDescent="0.3">
      <c r="A133" s="2">
        <v>45523</v>
      </c>
      <c r="B133" s="1">
        <v>29.19</v>
      </c>
      <c r="C133">
        <v>397290</v>
      </c>
      <c r="D133" s="1">
        <v>28.62</v>
      </c>
      <c r="E133" s="5">
        <f t="shared" si="5"/>
        <v>1.8848167539267102E-2</v>
      </c>
      <c r="F133" s="1">
        <f t="shared" si="4"/>
        <v>11596895.1</v>
      </c>
    </row>
    <row r="134" spans="1:6" x14ac:dyDescent="0.3">
      <c r="A134" s="2">
        <v>45524</v>
      </c>
      <c r="B134" s="1">
        <v>27.49</v>
      </c>
      <c r="C134">
        <v>660276</v>
      </c>
      <c r="D134" s="1">
        <v>29.21</v>
      </c>
      <c r="E134" s="5">
        <f t="shared" si="5"/>
        <v>-5.8239122987324476E-2</v>
      </c>
      <c r="F134" s="1">
        <f t="shared" si="4"/>
        <v>18150987.239999998</v>
      </c>
    </row>
    <row r="135" spans="1:6" x14ac:dyDescent="0.3">
      <c r="A135" s="2">
        <v>45525</v>
      </c>
      <c r="B135" s="1">
        <v>28.56</v>
      </c>
      <c r="C135">
        <v>637198</v>
      </c>
      <c r="D135" s="1">
        <v>27.8</v>
      </c>
      <c r="E135" s="5">
        <f t="shared" si="5"/>
        <v>3.8923244816296831E-2</v>
      </c>
      <c r="F135" s="1">
        <f t="shared" si="4"/>
        <v>18198374.879999999</v>
      </c>
    </row>
    <row r="136" spans="1:6" x14ac:dyDescent="0.3">
      <c r="A136" s="2">
        <v>45526</v>
      </c>
      <c r="B136" s="1">
        <v>29.83</v>
      </c>
      <c r="C136">
        <v>1223278</v>
      </c>
      <c r="D136" s="1">
        <v>28.7</v>
      </c>
      <c r="E136" s="5">
        <f t="shared" si="5"/>
        <v>4.4467787114846002E-2</v>
      </c>
      <c r="F136" s="1">
        <f t="shared" si="4"/>
        <v>36490382.739999995</v>
      </c>
    </row>
    <row r="137" spans="1:6" x14ac:dyDescent="0.3">
      <c r="A137" s="2">
        <v>45527</v>
      </c>
      <c r="B137" s="1">
        <v>32.68</v>
      </c>
      <c r="C137">
        <v>1325477</v>
      </c>
      <c r="D137" s="1">
        <v>30.67</v>
      </c>
      <c r="E137" s="5">
        <f t="shared" si="5"/>
        <v>9.5541401273885329E-2</v>
      </c>
      <c r="F137" s="1">
        <f t="shared" si="4"/>
        <v>43316588.359999999</v>
      </c>
    </row>
    <row r="138" spans="1:6" x14ac:dyDescent="0.3">
      <c r="A138" s="2">
        <v>45530</v>
      </c>
      <c r="B138" s="1">
        <v>32.35</v>
      </c>
      <c r="C138">
        <v>514945</v>
      </c>
      <c r="D138" s="1">
        <v>32.78</v>
      </c>
      <c r="E138" s="5">
        <f t="shared" si="5"/>
        <v>-1.0097919216646267E-2</v>
      </c>
      <c r="F138" s="1">
        <f t="shared" si="4"/>
        <v>16658470.75</v>
      </c>
    </row>
    <row r="139" spans="1:6" x14ac:dyDescent="0.3">
      <c r="A139" s="2">
        <v>45531</v>
      </c>
      <c r="B139" s="1">
        <v>33</v>
      </c>
      <c r="C139">
        <v>488235</v>
      </c>
      <c r="D139" s="1">
        <v>32.35</v>
      </c>
      <c r="E139" s="5">
        <f t="shared" si="5"/>
        <v>2.0092735703245657E-2</v>
      </c>
      <c r="F139" s="1">
        <f t="shared" si="4"/>
        <v>16111755</v>
      </c>
    </row>
    <row r="140" spans="1:6" x14ac:dyDescent="0.3">
      <c r="A140" s="2">
        <v>45532</v>
      </c>
      <c r="B140" s="1">
        <v>31.97</v>
      </c>
      <c r="C140">
        <v>899412</v>
      </c>
      <c r="D140" s="1">
        <v>32.9</v>
      </c>
      <c r="E140" s="5">
        <f t="shared" si="5"/>
        <v>-3.1212121212121247E-2</v>
      </c>
      <c r="F140" s="1">
        <f t="shared" si="4"/>
        <v>28754201.640000001</v>
      </c>
    </row>
    <row r="141" spans="1:6" x14ac:dyDescent="0.3">
      <c r="A141" s="2">
        <v>45533</v>
      </c>
      <c r="B141" s="1">
        <v>31.93</v>
      </c>
      <c r="C141">
        <v>376085</v>
      </c>
      <c r="D141" s="1">
        <v>32.04</v>
      </c>
      <c r="E141" s="5">
        <f t="shared" si="5"/>
        <v>-1.2511729746637057E-3</v>
      </c>
      <c r="F141" s="1">
        <f t="shared" si="4"/>
        <v>12008394.050000001</v>
      </c>
    </row>
    <row r="142" spans="1:6" x14ac:dyDescent="0.3">
      <c r="A142" s="2">
        <v>45534</v>
      </c>
      <c r="B142" s="1">
        <v>31.78</v>
      </c>
      <c r="C142">
        <v>316563</v>
      </c>
      <c r="D142" s="1">
        <v>31.93</v>
      </c>
      <c r="E142" s="5">
        <f t="shared" si="5"/>
        <v>-4.6977763858440102E-3</v>
      </c>
      <c r="F142" s="1">
        <f t="shared" si="4"/>
        <v>10060372.140000001</v>
      </c>
    </row>
    <row r="143" spans="1:6" x14ac:dyDescent="0.3">
      <c r="A143" s="2">
        <v>45538</v>
      </c>
      <c r="B143" s="1">
        <v>29.92</v>
      </c>
      <c r="C143">
        <v>452034</v>
      </c>
      <c r="D143" s="1">
        <v>31.15</v>
      </c>
      <c r="E143" s="5">
        <f t="shared" si="5"/>
        <v>-5.852737570799238E-2</v>
      </c>
      <c r="F143" s="1">
        <f t="shared" si="4"/>
        <v>13524857.280000001</v>
      </c>
    </row>
    <row r="144" spans="1:6" x14ac:dyDescent="0.3">
      <c r="A144" s="2">
        <v>45539</v>
      </c>
      <c r="B144" s="1">
        <v>29.57</v>
      </c>
      <c r="C144">
        <v>1244585</v>
      </c>
      <c r="D144" s="1">
        <v>29.44</v>
      </c>
      <c r="E144" s="5">
        <f t="shared" si="5"/>
        <v>-1.1697860962566864E-2</v>
      </c>
      <c r="F144" s="1">
        <f t="shared" si="4"/>
        <v>36802378.450000003</v>
      </c>
    </row>
    <row r="145" spans="1:6" x14ac:dyDescent="0.3">
      <c r="A145" s="2">
        <v>45540</v>
      </c>
      <c r="B145" s="1">
        <v>29.36</v>
      </c>
      <c r="C145">
        <v>688015</v>
      </c>
      <c r="D145" s="1">
        <v>29.49</v>
      </c>
      <c r="E145" s="5">
        <f t="shared" si="5"/>
        <v>-7.1017923571187191E-3</v>
      </c>
      <c r="F145" s="1">
        <f t="shared" si="4"/>
        <v>20200120.399999999</v>
      </c>
    </row>
    <row r="146" spans="1:6" x14ac:dyDescent="0.3">
      <c r="A146" s="2">
        <v>45541</v>
      </c>
      <c r="B146" s="1">
        <v>28.66</v>
      </c>
      <c r="C146">
        <v>916429</v>
      </c>
      <c r="D146" s="1">
        <v>29.46</v>
      </c>
      <c r="E146" s="5">
        <f t="shared" si="5"/>
        <v>-2.3841961852861027E-2</v>
      </c>
      <c r="F146" s="1">
        <f t="shared" si="4"/>
        <v>26264855.140000001</v>
      </c>
    </row>
    <row r="147" spans="1:6" x14ac:dyDescent="0.3">
      <c r="A147" s="2">
        <v>45544</v>
      </c>
      <c r="B147" s="1">
        <v>28.98</v>
      </c>
      <c r="C147">
        <v>1275922</v>
      </c>
      <c r="D147" s="1">
        <v>28.75</v>
      </c>
      <c r="E147" s="5">
        <f t="shared" si="5"/>
        <v>1.1165387299371998E-2</v>
      </c>
      <c r="F147" s="1">
        <f t="shared" si="4"/>
        <v>36976219.560000002</v>
      </c>
    </row>
    <row r="148" spans="1:6" x14ac:dyDescent="0.3">
      <c r="A148" s="2">
        <v>45545</v>
      </c>
      <c r="B148" s="1">
        <v>28.2</v>
      </c>
      <c r="C148">
        <v>1050314</v>
      </c>
      <c r="D148" s="1">
        <v>29.18</v>
      </c>
      <c r="E148" s="5">
        <f t="shared" si="5"/>
        <v>-2.6915113871635699E-2</v>
      </c>
      <c r="F148" s="1">
        <f t="shared" si="4"/>
        <v>29618854.800000001</v>
      </c>
    </row>
    <row r="149" spans="1:6" x14ac:dyDescent="0.3">
      <c r="A149" s="2">
        <v>45546</v>
      </c>
      <c r="B149" s="1">
        <v>29.1</v>
      </c>
      <c r="C149">
        <v>459209</v>
      </c>
      <c r="D149" s="1">
        <v>28.07</v>
      </c>
      <c r="E149" s="5">
        <f t="shared" si="5"/>
        <v>3.1914893617021267E-2</v>
      </c>
      <c r="F149" s="1">
        <f t="shared" si="4"/>
        <v>13362981.9</v>
      </c>
    </row>
    <row r="150" spans="1:6" x14ac:dyDescent="0.3">
      <c r="A150" s="2">
        <v>45547</v>
      </c>
      <c r="B150" s="1">
        <v>30.03</v>
      </c>
      <c r="C150">
        <v>826962</v>
      </c>
      <c r="D150" s="1">
        <v>29.36</v>
      </c>
      <c r="E150" s="5">
        <f t="shared" si="5"/>
        <v>3.1958762886597825E-2</v>
      </c>
      <c r="F150" s="1">
        <f t="shared" si="4"/>
        <v>24833668.859999999</v>
      </c>
    </row>
    <row r="151" spans="1:6" x14ac:dyDescent="0.3">
      <c r="A151" s="2">
        <v>45548</v>
      </c>
      <c r="B151" s="1">
        <v>30.68</v>
      </c>
      <c r="C151">
        <v>903475</v>
      </c>
      <c r="D151" s="1">
        <v>29.96</v>
      </c>
      <c r="E151" s="5">
        <f t="shared" si="5"/>
        <v>2.1645021645021689E-2</v>
      </c>
      <c r="F151" s="1">
        <f t="shared" si="4"/>
        <v>27718613</v>
      </c>
    </row>
    <row r="152" spans="1:6" x14ac:dyDescent="0.3">
      <c r="A152" s="2">
        <v>45551</v>
      </c>
      <c r="B152" s="1">
        <v>31.28</v>
      </c>
      <c r="C152">
        <v>510113</v>
      </c>
      <c r="D152" s="1">
        <v>30.66</v>
      </c>
      <c r="E152" s="5">
        <f t="shared" si="5"/>
        <v>1.9556714471968828E-2</v>
      </c>
      <c r="F152" s="1">
        <f t="shared" si="4"/>
        <v>15956334.640000001</v>
      </c>
    </row>
    <row r="153" spans="1:6" x14ac:dyDescent="0.3">
      <c r="A153" s="2">
        <v>45552</v>
      </c>
      <c r="B153" s="1">
        <v>30.51</v>
      </c>
      <c r="C153">
        <v>379420</v>
      </c>
      <c r="D153" s="1">
        <v>31.5</v>
      </c>
      <c r="E153" s="5">
        <f t="shared" si="5"/>
        <v>-2.4616368286444978E-2</v>
      </c>
      <c r="F153" s="1">
        <f t="shared" si="4"/>
        <v>11576104.200000001</v>
      </c>
    </row>
    <row r="154" spans="1:6" x14ac:dyDescent="0.3">
      <c r="A154" s="2">
        <v>45553</v>
      </c>
      <c r="B154" s="1">
        <v>30.47</v>
      </c>
      <c r="C154">
        <v>461656</v>
      </c>
      <c r="D154" s="1">
        <v>30.51</v>
      </c>
      <c r="E154" s="5">
        <f t="shared" si="5"/>
        <v>-1.3110455588332126E-3</v>
      </c>
      <c r="F154" s="1">
        <f t="shared" si="4"/>
        <v>14066658.32</v>
      </c>
    </row>
    <row r="155" spans="1:6" x14ac:dyDescent="0.3">
      <c r="A155" s="2">
        <v>45554</v>
      </c>
      <c r="B155" s="1">
        <v>32.51</v>
      </c>
      <c r="C155">
        <v>896132</v>
      </c>
      <c r="D155" s="1">
        <v>31.11</v>
      </c>
      <c r="E155" s="5">
        <f t="shared" si="5"/>
        <v>6.6951099442074113E-2</v>
      </c>
      <c r="F155" s="1">
        <f t="shared" si="4"/>
        <v>29133251.319999997</v>
      </c>
    </row>
    <row r="156" spans="1:6" x14ac:dyDescent="0.3">
      <c r="A156" s="2">
        <v>45555</v>
      </c>
      <c r="B156" s="1">
        <v>31.37</v>
      </c>
      <c r="C156">
        <v>618246</v>
      </c>
      <c r="D156" s="1">
        <v>32.42</v>
      </c>
      <c r="E156" s="5">
        <f t="shared" si="5"/>
        <v>-3.5066133497385299E-2</v>
      </c>
      <c r="F156" s="1">
        <f t="shared" si="4"/>
        <v>19394377.02</v>
      </c>
    </row>
    <row r="157" spans="1:6" x14ac:dyDescent="0.3">
      <c r="A157" s="2">
        <v>45558</v>
      </c>
      <c r="B157" s="1">
        <v>31.64</v>
      </c>
      <c r="C157">
        <v>359440</v>
      </c>
      <c r="D157" s="1">
        <v>31.35</v>
      </c>
      <c r="E157" s="5">
        <f t="shared" si="5"/>
        <v>8.6069493146319065E-3</v>
      </c>
      <c r="F157" s="1">
        <f t="shared" si="4"/>
        <v>11372681.6</v>
      </c>
    </row>
    <row r="158" spans="1:6" x14ac:dyDescent="0.3">
      <c r="A158" s="2">
        <v>45559</v>
      </c>
      <c r="B158" s="1">
        <v>31.31</v>
      </c>
      <c r="C158">
        <v>381353</v>
      </c>
      <c r="D158" s="1">
        <v>31.65</v>
      </c>
      <c r="E158" s="5">
        <f t="shared" si="5"/>
        <v>-1.0429835651074693E-2</v>
      </c>
      <c r="F158" s="1">
        <f t="shared" si="4"/>
        <v>11940162.43</v>
      </c>
    </row>
    <row r="159" spans="1:6" x14ac:dyDescent="0.3">
      <c r="A159" s="2">
        <v>45560</v>
      </c>
      <c r="B159" s="1">
        <v>31.55</v>
      </c>
      <c r="C159">
        <v>792095</v>
      </c>
      <c r="D159" s="1">
        <v>31.4</v>
      </c>
      <c r="E159" s="5">
        <f t="shared" si="5"/>
        <v>7.6652826572980448E-3</v>
      </c>
      <c r="F159" s="1">
        <f t="shared" si="4"/>
        <v>24990597.25</v>
      </c>
    </row>
    <row r="160" spans="1:6" x14ac:dyDescent="0.3">
      <c r="A160" s="2">
        <v>45561</v>
      </c>
      <c r="B160" s="1">
        <v>29.9</v>
      </c>
      <c r="C160">
        <v>1312107</v>
      </c>
      <c r="D160" s="1">
        <v>31.74</v>
      </c>
      <c r="E160" s="5">
        <f t="shared" si="5"/>
        <v>-5.229793977813002E-2</v>
      </c>
      <c r="F160" s="1">
        <f t="shared" si="4"/>
        <v>39231999.299999997</v>
      </c>
    </row>
    <row r="161" spans="1:6" x14ac:dyDescent="0.3">
      <c r="A161" s="2">
        <v>45562</v>
      </c>
      <c r="B161" s="1">
        <v>30</v>
      </c>
      <c r="C161">
        <v>512135</v>
      </c>
      <c r="D161" s="1">
        <v>29.85</v>
      </c>
      <c r="E161" s="5">
        <f t="shared" si="5"/>
        <v>3.3444816053511683E-3</v>
      </c>
      <c r="F161" s="1">
        <f t="shared" si="4"/>
        <v>15364050</v>
      </c>
    </row>
    <row r="162" spans="1:6" x14ac:dyDescent="0.3">
      <c r="A162" s="2">
        <v>45565</v>
      </c>
      <c r="B162" s="1">
        <v>30</v>
      </c>
      <c r="C162">
        <v>500828</v>
      </c>
      <c r="D162" s="1">
        <v>29.64</v>
      </c>
      <c r="E162" s="5">
        <f t="shared" si="5"/>
        <v>0</v>
      </c>
      <c r="F162" s="1">
        <f t="shared" si="4"/>
        <v>15024840</v>
      </c>
    </row>
    <row r="163" spans="1:6" x14ac:dyDescent="0.3">
      <c r="A163" s="2">
        <v>45566</v>
      </c>
      <c r="B163" s="1">
        <v>30.03</v>
      </c>
      <c r="C163">
        <v>269574</v>
      </c>
      <c r="D163" s="1">
        <v>30.07</v>
      </c>
      <c r="E163" s="5">
        <f t="shared" si="5"/>
        <v>1.0000000000001119E-3</v>
      </c>
      <c r="F163" s="1">
        <f t="shared" si="4"/>
        <v>8095307.2200000007</v>
      </c>
    </row>
    <row r="164" spans="1:6" x14ac:dyDescent="0.3">
      <c r="A164" s="2">
        <v>45567</v>
      </c>
      <c r="B164" s="1">
        <v>29.75</v>
      </c>
      <c r="C164">
        <v>550755</v>
      </c>
      <c r="D164" s="1">
        <v>29.85</v>
      </c>
      <c r="E164" s="5">
        <f t="shared" si="5"/>
        <v>-9.3240093240093413E-3</v>
      </c>
      <c r="F164" s="1">
        <f t="shared" si="4"/>
        <v>16384961.25</v>
      </c>
    </row>
    <row r="165" spans="1:6" x14ac:dyDescent="0.3">
      <c r="A165" s="2">
        <v>45568</v>
      </c>
      <c r="B165" s="1">
        <v>29.93</v>
      </c>
      <c r="C165">
        <v>310188</v>
      </c>
      <c r="D165" s="1">
        <v>29.86</v>
      </c>
      <c r="E165" s="5">
        <f t="shared" si="5"/>
        <v>6.0504201680671166E-3</v>
      </c>
      <c r="F165" s="1">
        <f t="shared" si="4"/>
        <v>9283926.8399999999</v>
      </c>
    </row>
    <row r="166" spans="1:6" x14ac:dyDescent="0.3">
      <c r="A166" s="2">
        <v>45569</v>
      </c>
      <c r="B166" s="1">
        <v>30.73</v>
      </c>
      <c r="C166">
        <v>716583</v>
      </c>
      <c r="D166" s="1">
        <v>30.4</v>
      </c>
      <c r="E166" s="5">
        <f t="shared" si="5"/>
        <v>2.6729034413631725E-2</v>
      </c>
      <c r="F166" s="1">
        <f t="shared" si="4"/>
        <v>22020595.59</v>
      </c>
    </row>
    <row r="167" spans="1:6" x14ac:dyDescent="0.3">
      <c r="A167" s="2">
        <v>45572</v>
      </c>
      <c r="B167" s="1">
        <v>30.63</v>
      </c>
      <c r="C167">
        <v>846895</v>
      </c>
      <c r="D167" s="1">
        <v>30.75</v>
      </c>
      <c r="E167" s="5">
        <f t="shared" si="5"/>
        <v>-3.2541490400260775E-3</v>
      </c>
      <c r="F167" s="1">
        <f t="shared" si="4"/>
        <v>25940393.849999998</v>
      </c>
    </row>
    <row r="168" spans="1:6" x14ac:dyDescent="0.3">
      <c r="A168" s="2">
        <v>45573</v>
      </c>
      <c r="B168" s="1">
        <v>31.33</v>
      </c>
      <c r="C168">
        <v>668607</v>
      </c>
      <c r="D168" s="1">
        <v>30.57</v>
      </c>
      <c r="E168" s="5">
        <f t="shared" si="5"/>
        <v>2.285341168788757E-2</v>
      </c>
      <c r="F168" s="1">
        <f t="shared" si="4"/>
        <v>20947457.309999999</v>
      </c>
    </row>
    <row r="169" spans="1:6" x14ac:dyDescent="0.3">
      <c r="A169" s="2">
        <v>45574</v>
      </c>
      <c r="B169" s="1">
        <v>31</v>
      </c>
      <c r="C169">
        <v>346459</v>
      </c>
      <c r="D169" s="1">
        <v>31.46</v>
      </c>
      <c r="E169" s="5">
        <f t="shared" si="5"/>
        <v>-1.0533035429300952E-2</v>
      </c>
      <c r="F169" s="1">
        <f t="shared" si="4"/>
        <v>10740229</v>
      </c>
    </row>
    <row r="170" spans="1:6" x14ac:dyDescent="0.3">
      <c r="A170" s="2">
        <v>45575</v>
      </c>
      <c r="B170" s="1">
        <v>31.97</v>
      </c>
      <c r="C170">
        <v>582840</v>
      </c>
      <c r="D170" s="1">
        <v>30.75</v>
      </c>
      <c r="E170" s="5">
        <f t="shared" si="5"/>
        <v>3.1290322580645125E-2</v>
      </c>
      <c r="F170" s="1">
        <f t="shared" si="4"/>
        <v>18633394.800000001</v>
      </c>
    </row>
    <row r="171" spans="1:6" x14ac:dyDescent="0.3">
      <c r="A171" s="2">
        <v>45576</v>
      </c>
      <c r="B171" s="1">
        <v>32.840000000000003</v>
      </c>
      <c r="C171">
        <v>1030391</v>
      </c>
      <c r="D171" s="1">
        <v>32.04</v>
      </c>
      <c r="E171" s="5">
        <f t="shared" si="5"/>
        <v>2.7213012198936681E-2</v>
      </c>
      <c r="F171" s="1">
        <f t="shared" si="4"/>
        <v>33838040.440000005</v>
      </c>
    </row>
    <row r="172" spans="1:6" x14ac:dyDescent="0.3">
      <c r="A172" s="2">
        <v>45579</v>
      </c>
      <c r="B172" s="1">
        <v>31.74</v>
      </c>
      <c r="C172">
        <v>379043</v>
      </c>
      <c r="D172" s="1">
        <v>32.89</v>
      </c>
      <c r="E172" s="5">
        <f t="shared" si="5"/>
        <v>-3.3495736906212104E-2</v>
      </c>
      <c r="F172" s="1">
        <f t="shared" si="4"/>
        <v>12030824.82</v>
      </c>
    </row>
    <row r="173" spans="1:6" x14ac:dyDescent="0.3">
      <c r="A173" s="2">
        <v>45580</v>
      </c>
      <c r="B173" s="1">
        <v>33.22</v>
      </c>
      <c r="C173">
        <v>843945</v>
      </c>
      <c r="D173" s="1">
        <v>31.79</v>
      </c>
      <c r="E173" s="5">
        <f t="shared" si="5"/>
        <v>4.6628859483301754E-2</v>
      </c>
      <c r="F173" s="1">
        <f t="shared" si="4"/>
        <v>28035852.899999999</v>
      </c>
    </row>
    <row r="174" spans="1:6" x14ac:dyDescent="0.3">
      <c r="A174" s="2">
        <v>45581</v>
      </c>
      <c r="B174" s="1">
        <v>33.090000000000003</v>
      </c>
      <c r="C174">
        <v>486574</v>
      </c>
      <c r="D174" s="1">
        <v>33.774999999999999</v>
      </c>
      <c r="E174" s="5">
        <f t="shared" si="5"/>
        <v>-3.9133052378084177E-3</v>
      </c>
      <c r="F174" s="1">
        <f t="shared" si="4"/>
        <v>16100733.660000002</v>
      </c>
    </row>
    <row r="175" spans="1:6" x14ac:dyDescent="0.3">
      <c r="A175" s="2">
        <v>45582</v>
      </c>
      <c r="B175" s="1">
        <v>33.119999999999997</v>
      </c>
      <c r="C175">
        <v>658288</v>
      </c>
      <c r="D175" s="1">
        <v>33</v>
      </c>
      <c r="E175" s="5">
        <f t="shared" si="5"/>
        <v>9.0661831368965551E-4</v>
      </c>
      <c r="F175" s="1">
        <f t="shared" si="4"/>
        <v>21802498.559999999</v>
      </c>
    </row>
    <row r="176" spans="1:6" x14ac:dyDescent="0.3">
      <c r="A176" s="2">
        <v>45583</v>
      </c>
      <c r="B176" s="1">
        <v>33.22</v>
      </c>
      <c r="C176">
        <v>812816</v>
      </c>
      <c r="D176" s="1">
        <v>33.31</v>
      </c>
      <c r="E176" s="5">
        <f t="shared" si="5"/>
        <v>3.019323671497709E-3</v>
      </c>
      <c r="F176" s="1">
        <f t="shared" si="4"/>
        <v>27001747.52</v>
      </c>
    </row>
    <row r="177" spans="1:6" x14ac:dyDescent="0.3">
      <c r="A177" s="2">
        <v>45586</v>
      </c>
      <c r="B177" s="1">
        <v>33.119999999999997</v>
      </c>
      <c r="C177">
        <v>566884</v>
      </c>
      <c r="D177" s="1">
        <v>33.26</v>
      </c>
      <c r="E177" s="5">
        <f t="shared" si="5"/>
        <v>-3.0102347983143041E-3</v>
      </c>
      <c r="F177" s="1">
        <f t="shared" si="4"/>
        <v>18775198.079999998</v>
      </c>
    </row>
    <row r="178" spans="1:6" x14ac:dyDescent="0.3">
      <c r="A178" s="2">
        <v>45587</v>
      </c>
      <c r="B178" s="1">
        <v>33.4</v>
      </c>
      <c r="C178">
        <v>373330</v>
      </c>
      <c r="D178" s="1">
        <v>32.659999999999997</v>
      </c>
      <c r="E178" s="5">
        <f t="shared" si="5"/>
        <v>8.4541062801932743E-3</v>
      </c>
      <c r="F178" s="1">
        <f t="shared" si="4"/>
        <v>12469222</v>
      </c>
    </row>
    <row r="179" spans="1:6" x14ac:dyDescent="0.3">
      <c r="A179" s="2">
        <v>45588</v>
      </c>
      <c r="B179" s="1">
        <v>32.36</v>
      </c>
      <c r="C179">
        <v>732319</v>
      </c>
      <c r="D179" s="1">
        <v>33.08</v>
      </c>
      <c r="E179" s="5">
        <f t="shared" si="5"/>
        <v>-3.1137724550898138E-2</v>
      </c>
      <c r="F179" s="1">
        <f t="shared" si="4"/>
        <v>23697842.84</v>
      </c>
    </row>
    <row r="180" spans="1:6" x14ac:dyDescent="0.3">
      <c r="A180" s="2">
        <v>45589</v>
      </c>
      <c r="B180" s="1">
        <v>33.22</v>
      </c>
      <c r="C180">
        <v>785165</v>
      </c>
      <c r="D180" s="1">
        <v>32.57</v>
      </c>
      <c r="E180" s="5">
        <f t="shared" si="5"/>
        <v>2.6576019777503124E-2</v>
      </c>
      <c r="F180" s="1">
        <f t="shared" si="4"/>
        <v>26083181.300000001</v>
      </c>
    </row>
    <row r="181" spans="1:6" x14ac:dyDescent="0.3">
      <c r="A181" s="2">
        <v>45590</v>
      </c>
      <c r="B181" s="1">
        <v>34.25</v>
      </c>
      <c r="C181">
        <v>743372</v>
      </c>
      <c r="D181" s="1">
        <v>33.340000000000003</v>
      </c>
      <c r="E181" s="5">
        <f t="shared" si="5"/>
        <v>3.1005418422636932E-2</v>
      </c>
      <c r="F181" s="1">
        <f t="shared" si="4"/>
        <v>25460491</v>
      </c>
    </row>
    <row r="182" spans="1:6" x14ac:dyDescent="0.3">
      <c r="A182" s="2">
        <v>45593</v>
      </c>
      <c r="B182" s="1">
        <v>34.22</v>
      </c>
      <c r="C182">
        <v>477816</v>
      </c>
      <c r="D182" s="1">
        <v>34.51</v>
      </c>
      <c r="E182" s="5">
        <f t="shared" si="5"/>
        <v>-8.7591240875917187E-4</v>
      </c>
      <c r="F182" s="1">
        <f t="shared" si="4"/>
        <v>16350863.52</v>
      </c>
    </row>
    <row r="183" spans="1:6" x14ac:dyDescent="0.3">
      <c r="A183" s="2">
        <v>45594</v>
      </c>
      <c r="B183" s="1">
        <v>32.86</v>
      </c>
      <c r="C183">
        <v>701043</v>
      </c>
      <c r="D183" s="1">
        <v>34.06</v>
      </c>
      <c r="E183" s="5">
        <f t="shared" si="5"/>
        <v>-3.9742840444184635E-2</v>
      </c>
      <c r="F183" s="1">
        <f t="shared" si="4"/>
        <v>23036272.98</v>
      </c>
    </row>
    <row r="184" spans="1:6" x14ac:dyDescent="0.3">
      <c r="A184" s="2">
        <v>45595</v>
      </c>
      <c r="B184" s="1">
        <v>32</v>
      </c>
      <c r="C184">
        <v>852821</v>
      </c>
      <c r="D184" s="1">
        <v>32.700000000000003</v>
      </c>
      <c r="E184" s="5">
        <f t="shared" si="5"/>
        <v>-2.6171637248934898E-2</v>
      </c>
      <c r="F184" s="1">
        <f t="shared" si="4"/>
        <v>27290272</v>
      </c>
    </row>
    <row r="185" spans="1:6" x14ac:dyDescent="0.3">
      <c r="A185" s="2">
        <v>45596</v>
      </c>
      <c r="B185" s="1">
        <v>31.94</v>
      </c>
      <c r="C185">
        <v>1088242</v>
      </c>
      <c r="D185" s="1">
        <v>32.090000000000003</v>
      </c>
      <c r="E185" s="5">
        <f t="shared" si="5"/>
        <v>-1.87499999999996E-3</v>
      </c>
      <c r="F185" s="1">
        <f t="shared" si="4"/>
        <v>34758449.480000004</v>
      </c>
    </row>
    <row r="186" spans="1:6" x14ac:dyDescent="0.3">
      <c r="A186" s="2">
        <v>45597</v>
      </c>
      <c r="B186" s="1">
        <v>31.82</v>
      </c>
      <c r="C186">
        <v>750546</v>
      </c>
      <c r="D186" s="1">
        <v>32.08</v>
      </c>
      <c r="E186" s="5">
        <f t="shared" si="5"/>
        <v>-3.7570444583594487E-3</v>
      </c>
      <c r="F186" s="1">
        <f t="shared" si="4"/>
        <v>23882373.719999999</v>
      </c>
    </row>
    <row r="187" spans="1:6" x14ac:dyDescent="0.3">
      <c r="A187" s="2">
        <v>45600</v>
      </c>
      <c r="B187" s="1">
        <v>32</v>
      </c>
      <c r="C187">
        <v>590380</v>
      </c>
      <c r="D187" s="1">
        <v>31.82</v>
      </c>
      <c r="E187" s="5">
        <f t="shared" si="5"/>
        <v>5.6568196103079504E-3</v>
      </c>
      <c r="F187" s="1">
        <f t="shared" si="4"/>
        <v>18892160</v>
      </c>
    </row>
    <row r="188" spans="1:6" x14ac:dyDescent="0.3">
      <c r="A188" s="2">
        <v>45601</v>
      </c>
      <c r="B188" s="1">
        <v>32.200000000000003</v>
      </c>
      <c r="C188">
        <v>529419</v>
      </c>
      <c r="D188" s="1">
        <v>32.07</v>
      </c>
      <c r="E188" s="5">
        <f t="shared" si="5"/>
        <v>6.2500000000000888E-3</v>
      </c>
      <c r="F188" s="1">
        <f t="shared" si="4"/>
        <v>17047291.800000001</v>
      </c>
    </row>
    <row r="189" spans="1:6" x14ac:dyDescent="0.3">
      <c r="A189" s="2">
        <v>45602</v>
      </c>
      <c r="B189" s="1">
        <v>31.93</v>
      </c>
      <c r="C189">
        <v>1239394</v>
      </c>
      <c r="D189" s="1">
        <v>31.98</v>
      </c>
      <c r="E189" s="5">
        <f t="shared" si="5"/>
        <v>-8.3850931677019735E-3</v>
      </c>
      <c r="F189" s="1">
        <f t="shared" si="4"/>
        <v>39573850.420000002</v>
      </c>
    </row>
    <row r="190" spans="1:6" x14ac:dyDescent="0.3">
      <c r="A190" s="2">
        <v>45603</v>
      </c>
      <c r="B190" s="1">
        <v>32.56</v>
      </c>
      <c r="C190">
        <v>634285</v>
      </c>
      <c r="D190" s="1">
        <v>32.4</v>
      </c>
      <c r="E190" s="5">
        <f t="shared" si="5"/>
        <v>1.9730660820544976E-2</v>
      </c>
      <c r="F190" s="1">
        <f t="shared" si="4"/>
        <v>20652319.600000001</v>
      </c>
    </row>
    <row r="191" spans="1:6" x14ac:dyDescent="0.3">
      <c r="A191" s="2">
        <v>45604</v>
      </c>
      <c r="B191" s="1">
        <v>33.39</v>
      </c>
      <c r="C191">
        <v>482323</v>
      </c>
      <c r="D191" s="1">
        <v>32.58</v>
      </c>
      <c r="E191" s="5">
        <f t="shared" si="5"/>
        <v>2.5491400491400418E-2</v>
      </c>
      <c r="F191" s="1">
        <f t="shared" si="4"/>
        <v>16104764.970000001</v>
      </c>
    </row>
    <row r="192" spans="1:6" x14ac:dyDescent="0.3">
      <c r="A192" s="2">
        <v>45607</v>
      </c>
      <c r="B192" s="1">
        <v>33.29</v>
      </c>
      <c r="C192">
        <v>585909</v>
      </c>
      <c r="D192" s="1">
        <v>33.69</v>
      </c>
      <c r="E192" s="5">
        <f t="shared" si="5"/>
        <v>-2.994908655286066E-3</v>
      </c>
      <c r="F192" s="1">
        <f t="shared" si="4"/>
        <v>19504910.609999999</v>
      </c>
    </row>
    <row r="193" spans="1:6" x14ac:dyDescent="0.3">
      <c r="A193" s="2">
        <v>45608</v>
      </c>
      <c r="B193" s="1">
        <v>32.89</v>
      </c>
      <c r="C193">
        <v>729932</v>
      </c>
      <c r="D193" s="1">
        <v>33.1</v>
      </c>
      <c r="E193" s="5">
        <f t="shared" si="5"/>
        <v>-1.2015620306398245E-2</v>
      </c>
      <c r="F193" s="1">
        <f t="shared" si="4"/>
        <v>24007463.48</v>
      </c>
    </row>
    <row r="194" spans="1:6" x14ac:dyDescent="0.3">
      <c r="A194" s="2">
        <v>45609</v>
      </c>
      <c r="B194" s="1">
        <v>32.96</v>
      </c>
      <c r="C194">
        <v>520238</v>
      </c>
      <c r="D194" s="1">
        <v>33.049999999999997</v>
      </c>
      <c r="E194" s="5">
        <f t="shared" si="5"/>
        <v>2.128306476132602E-3</v>
      </c>
      <c r="F194" s="1">
        <f t="shared" si="4"/>
        <v>17147044.48</v>
      </c>
    </row>
    <row r="195" spans="1:6" x14ac:dyDescent="0.3">
      <c r="A195" s="2">
        <v>45610</v>
      </c>
      <c r="B195" s="1">
        <v>31.91</v>
      </c>
      <c r="C195">
        <v>450455</v>
      </c>
      <c r="D195" s="1">
        <v>32.94</v>
      </c>
      <c r="E195" s="5">
        <f t="shared" si="5"/>
        <v>-3.1856796116504826E-2</v>
      </c>
      <c r="F195" s="1">
        <f t="shared" ref="F195:F258" si="6">C195*B195</f>
        <v>14374019.050000001</v>
      </c>
    </row>
    <row r="196" spans="1:6" x14ac:dyDescent="0.3">
      <c r="A196" s="2">
        <v>45611</v>
      </c>
      <c r="B196" s="1">
        <v>32.18</v>
      </c>
      <c r="C196">
        <v>216074</v>
      </c>
      <c r="D196" s="1">
        <v>31.91</v>
      </c>
      <c r="E196" s="5">
        <f t="shared" ref="E196:E259" si="7">(B196/B195)-1</f>
        <v>8.4612973989344198E-3</v>
      </c>
      <c r="F196" s="1">
        <f t="shared" si="6"/>
        <v>6953261.3200000003</v>
      </c>
    </row>
    <row r="197" spans="1:6" x14ac:dyDescent="0.3">
      <c r="A197" s="2">
        <v>45614</v>
      </c>
      <c r="B197" s="1">
        <v>32.11</v>
      </c>
      <c r="C197">
        <v>781322</v>
      </c>
      <c r="D197" s="1">
        <v>32.11</v>
      </c>
      <c r="E197" s="5">
        <f t="shared" si="7"/>
        <v>-2.1752641392168703E-3</v>
      </c>
      <c r="F197" s="1">
        <f t="shared" si="6"/>
        <v>25088249.419999998</v>
      </c>
    </row>
    <row r="198" spans="1:6" x14ac:dyDescent="0.3">
      <c r="A198" s="2">
        <v>45615</v>
      </c>
      <c r="B198" s="1">
        <v>32.729999999999997</v>
      </c>
      <c r="C198">
        <v>695139</v>
      </c>
      <c r="D198" s="1">
        <v>31.59</v>
      </c>
      <c r="E198" s="5">
        <f t="shared" si="7"/>
        <v>1.9308626596076017E-2</v>
      </c>
      <c r="F198" s="1">
        <f t="shared" si="6"/>
        <v>22751899.469999999</v>
      </c>
    </row>
    <row r="199" spans="1:6" x14ac:dyDescent="0.3">
      <c r="A199" s="2">
        <v>45616</v>
      </c>
      <c r="B199" s="1">
        <v>32.78</v>
      </c>
      <c r="C199">
        <v>436654</v>
      </c>
      <c r="D199" s="1">
        <v>32.78</v>
      </c>
      <c r="E199" s="5">
        <f t="shared" si="7"/>
        <v>1.5276504735717289E-3</v>
      </c>
      <c r="F199" s="1">
        <f t="shared" si="6"/>
        <v>14313518.120000001</v>
      </c>
    </row>
    <row r="200" spans="1:6" x14ac:dyDescent="0.3">
      <c r="A200" s="2">
        <v>45617</v>
      </c>
      <c r="B200" s="1">
        <v>33.4</v>
      </c>
      <c r="C200">
        <v>671194</v>
      </c>
      <c r="D200" s="1">
        <v>32.840000000000003</v>
      </c>
      <c r="E200" s="5">
        <f t="shared" si="7"/>
        <v>1.8913971934106044E-2</v>
      </c>
      <c r="F200" s="1">
        <f t="shared" si="6"/>
        <v>22417879.599999998</v>
      </c>
    </row>
    <row r="201" spans="1:6" x14ac:dyDescent="0.3">
      <c r="A201" s="2">
        <v>45618</v>
      </c>
      <c r="B201" s="1">
        <v>34.07</v>
      </c>
      <c r="C201">
        <v>762846</v>
      </c>
      <c r="D201" s="1">
        <v>33.69</v>
      </c>
      <c r="E201" s="5">
        <f t="shared" si="7"/>
        <v>2.00598802395211E-2</v>
      </c>
      <c r="F201" s="1">
        <f t="shared" si="6"/>
        <v>25990163.219999999</v>
      </c>
    </row>
    <row r="202" spans="1:6" x14ac:dyDescent="0.3">
      <c r="A202" s="2">
        <v>45621</v>
      </c>
      <c r="B202" s="1">
        <v>34.159999999999997</v>
      </c>
      <c r="C202">
        <v>884230</v>
      </c>
      <c r="D202" s="1">
        <v>34.54</v>
      </c>
      <c r="E202" s="5">
        <f t="shared" si="7"/>
        <v>2.6416201937187189E-3</v>
      </c>
      <c r="F202" s="1">
        <f t="shared" si="6"/>
        <v>30205296.799999997</v>
      </c>
    </row>
    <row r="203" spans="1:6" x14ac:dyDescent="0.3">
      <c r="A203" s="2">
        <v>45622</v>
      </c>
      <c r="B203" s="1">
        <v>29.89</v>
      </c>
      <c r="C203">
        <v>2052072</v>
      </c>
      <c r="D203" s="1">
        <v>32.14</v>
      </c>
      <c r="E203" s="5">
        <f t="shared" si="7"/>
        <v>-0.12499999999999989</v>
      </c>
      <c r="F203" s="1">
        <f t="shared" si="6"/>
        <v>61336432.079999998</v>
      </c>
    </row>
    <row r="204" spans="1:6" x14ac:dyDescent="0.3">
      <c r="A204" s="2">
        <v>45623</v>
      </c>
      <c r="B204" s="1">
        <v>28.22</v>
      </c>
      <c r="C204">
        <v>1167199</v>
      </c>
      <c r="D204" s="1">
        <v>29.76</v>
      </c>
      <c r="E204" s="5">
        <f t="shared" si="7"/>
        <v>-5.5871528939444692E-2</v>
      </c>
      <c r="F204" s="1">
        <f t="shared" si="6"/>
        <v>32938355.779999997</v>
      </c>
    </row>
    <row r="205" spans="1:6" x14ac:dyDescent="0.3">
      <c r="A205" s="2">
        <v>45625</v>
      </c>
      <c r="B205" s="1">
        <v>28.22</v>
      </c>
      <c r="C205">
        <v>698190</v>
      </c>
      <c r="D205" s="1">
        <v>28.6</v>
      </c>
      <c r="E205" s="5">
        <f t="shared" si="7"/>
        <v>0</v>
      </c>
      <c r="F205" s="1">
        <f t="shared" si="6"/>
        <v>19702921.800000001</v>
      </c>
    </row>
    <row r="206" spans="1:6" x14ac:dyDescent="0.3">
      <c r="A206" s="2">
        <v>45628</v>
      </c>
      <c r="B206" s="1">
        <v>27.84</v>
      </c>
      <c r="C206">
        <v>913457</v>
      </c>
      <c r="D206" s="1">
        <v>28.01</v>
      </c>
      <c r="E206" s="5">
        <f t="shared" si="7"/>
        <v>-1.3465627214741316E-2</v>
      </c>
      <c r="F206" s="1">
        <f t="shared" si="6"/>
        <v>25430642.879999999</v>
      </c>
    </row>
    <row r="207" spans="1:6" x14ac:dyDescent="0.3">
      <c r="A207" s="2">
        <v>45629</v>
      </c>
      <c r="B207" s="1">
        <v>28.58</v>
      </c>
      <c r="C207">
        <v>738283</v>
      </c>
      <c r="D207" s="1">
        <v>27.67</v>
      </c>
      <c r="E207" s="5">
        <f t="shared" si="7"/>
        <v>2.6580459770114917E-2</v>
      </c>
      <c r="F207" s="1">
        <f t="shared" si="6"/>
        <v>21100128.140000001</v>
      </c>
    </row>
    <row r="208" spans="1:6" x14ac:dyDescent="0.3">
      <c r="A208" s="2">
        <v>45630</v>
      </c>
      <c r="B208" s="1">
        <v>28.1</v>
      </c>
      <c r="C208">
        <v>714213</v>
      </c>
      <c r="D208" s="1">
        <v>28.26</v>
      </c>
      <c r="E208" s="5">
        <f t="shared" si="7"/>
        <v>-1.6794961511546469E-2</v>
      </c>
      <c r="F208" s="1">
        <f t="shared" si="6"/>
        <v>20069385.300000001</v>
      </c>
    </row>
    <row r="209" spans="1:6" x14ac:dyDescent="0.3">
      <c r="A209" s="2">
        <v>45631</v>
      </c>
      <c r="B209" s="1">
        <v>28.72</v>
      </c>
      <c r="C209">
        <v>771291</v>
      </c>
      <c r="D209" s="1">
        <v>28.43</v>
      </c>
      <c r="E209" s="5">
        <f t="shared" si="7"/>
        <v>2.2064056939501642E-2</v>
      </c>
      <c r="F209" s="1">
        <f t="shared" si="6"/>
        <v>22151477.52</v>
      </c>
    </row>
    <row r="210" spans="1:6" x14ac:dyDescent="0.3">
      <c r="A210" s="2">
        <v>45632</v>
      </c>
      <c r="B210" s="1">
        <v>30</v>
      </c>
      <c r="C210">
        <v>1468721</v>
      </c>
      <c r="D210" s="1">
        <v>28.9</v>
      </c>
      <c r="E210" s="5">
        <f t="shared" si="7"/>
        <v>4.4568245125348183E-2</v>
      </c>
      <c r="F210" s="1">
        <f t="shared" si="6"/>
        <v>44061630</v>
      </c>
    </row>
    <row r="211" spans="1:6" x14ac:dyDescent="0.3">
      <c r="A211" s="2">
        <v>45635</v>
      </c>
      <c r="B211" s="1">
        <v>29.44</v>
      </c>
      <c r="C211">
        <v>1003216</v>
      </c>
      <c r="D211" s="1">
        <v>29.98</v>
      </c>
      <c r="E211" s="5">
        <f t="shared" si="7"/>
        <v>-1.8666666666666609E-2</v>
      </c>
      <c r="F211" s="1">
        <f t="shared" si="6"/>
        <v>29534679.040000003</v>
      </c>
    </row>
    <row r="212" spans="1:6" x14ac:dyDescent="0.3">
      <c r="A212" s="2">
        <v>45636</v>
      </c>
      <c r="B212" s="1">
        <v>29.09</v>
      </c>
      <c r="C212">
        <v>896652</v>
      </c>
      <c r="D212" s="1">
        <v>29.48</v>
      </c>
      <c r="E212" s="5">
        <f t="shared" si="7"/>
        <v>-1.188858695652184E-2</v>
      </c>
      <c r="F212" s="1">
        <f t="shared" si="6"/>
        <v>26083606.68</v>
      </c>
    </row>
    <row r="213" spans="1:6" x14ac:dyDescent="0.3">
      <c r="A213" s="2">
        <v>45637</v>
      </c>
      <c r="B213" s="1">
        <v>29.92</v>
      </c>
      <c r="C213">
        <v>759278</v>
      </c>
      <c r="D213" s="1">
        <v>29.23</v>
      </c>
      <c r="E213" s="5">
        <f t="shared" si="7"/>
        <v>2.8532141629425967E-2</v>
      </c>
      <c r="F213" s="1">
        <f t="shared" si="6"/>
        <v>22717597.760000002</v>
      </c>
    </row>
    <row r="214" spans="1:6" x14ac:dyDescent="0.3">
      <c r="A214" s="2">
        <v>45638</v>
      </c>
      <c r="B214" s="1">
        <v>29.26</v>
      </c>
      <c r="C214">
        <v>422044</v>
      </c>
      <c r="D214" s="1">
        <v>29.68</v>
      </c>
      <c r="E214" s="5">
        <f t="shared" si="7"/>
        <v>-2.2058823529411797E-2</v>
      </c>
      <c r="F214" s="1">
        <f t="shared" si="6"/>
        <v>12349007.440000001</v>
      </c>
    </row>
    <row r="215" spans="1:6" x14ac:dyDescent="0.3">
      <c r="A215" s="2">
        <v>45639</v>
      </c>
      <c r="B215" s="1">
        <v>28.73</v>
      </c>
      <c r="C215">
        <v>658900</v>
      </c>
      <c r="D215" s="1">
        <v>29.44</v>
      </c>
      <c r="E215" s="5">
        <f t="shared" si="7"/>
        <v>-1.8113465481886526E-2</v>
      </c>
      <c r="F215" s="1">
        <f t="shared" si="6"/>
        <v>18930197</v>
      </c>
    </row>
    <row r="216" spans="1:6" x14ac:dyDescent="0.3">
      <c r="A216" s="2">
        <v>45642</v>
      </c>
      <c r="B216" s="1">
        <v>30.16</v>
      </c>
      <c r="C216">
        <v>1002913</v>
      </c>
      <c r="D216" s="1">
        <v>28.96</v>
      </c>
      <c r="E216" s="5">
        <f t="shared" si="7"/>
        <v>4.9773755656108642E-2</v>
      </c>
      <c r="F216" s="1">
        <f t="shared" si="6"/>
        <v>30247856.080000002</v>
      </c>
    </row>
    <row r="217" spans="1:6" x14ac:dyDescent="0.3">
      <c r="A217" s="2">
        <v>45643</v>
      </c>
      <c r="B217" s="1">
        <v>28.88</v>
      </c>
      <c r="C217">
        <v>844921</v>
      </c>
      <c r="D217" s="1">
        <v>30.03</v>
      </c>
      <c r="E217" s="5">
        <f t="shared" si="7"/>
        <v>-4.2440318302387259E-2</v>
      </c>
      <c r="F217" s="1">
        <f t="shared" si="6"/>
        <v>24401318.48</v>
      </c>
    </row>
    <row r="218" spans="1:6" x14ac:dyDescent="0.3">
      <c r="A218" s="2">
        <v>45644</v>
      </c>
      <c r="B218" s="1">
        <v>28.71</v>
      </c>
      <c r="C218">
        <v>611686</v>
      </c>
      <c r="D218" s="1">
        <v>28.87</v>
      </c>
      <c r="E218" s="5">
        <f t="shared" si="7"/>
        <v>-5.8864265927977E-3</v>
      </c>
      <c r="F218" s="1">
        <f t="shared" si="6"/>
        <v>17561505.060000002</v>
      </c>
    </row>
    <row r="219" spans="1:6" x14ac:dyDescent="0.3">
      <c r="A219" s="2">
        <v>45645</v>
      </c>
      <c r="B219" s="1">
        <v>29.2</v>
      </c>
      <c r="C219">
        <v>740547</v>
      </c>
      <c r="D219" s="1">
        <v>28.79</v>
      </c>
      <c r="E219" s="5">
        <f t="shared" si="7"/>
        <v>1.7067223963775691E-2</v>
      </c>
      <c r="F219" s="1">
        <f t="shared" si="6"/>
        <v>21623972.399999999</v>
      </c>
    </row>
    <row r="220" spans="1:6" x14ac:dyDescent="0.3">
      <c r="A220" s="2">
        <v>45646</v>
      </c>
      <c r="B220" s="1">
        <v>29.45</v>
      </c>
      <c r="C220">
        <v>1013094</v>
      </c>
      <c r="D220" s="1">
        <v>28.94</v>
      </c>
      <c r="E220" s="5">
        <f t="shared" si="7"/>
        <v>8.5616438356164171E-3</v>
      </c>
      <c r="F220" s="1">
        <f t="shared" si="6"/>
        <v>29835618.300000001</v>
      </c>
    </row>
    <row r="221" spans="1:6" x14ac:dyDescent="0.3">
      <c r="A221" s="2">
        <v>45649</v>
      </c>
      <c r="B221" s="1">
        <v>29.7</v>
      </c>
      <c r="C221">
        <v>665597</v>
      </c>
      <c r="D221" s="1">
        <v>29.3</v>
      </c>
      <c r="E221" s="5">
        <f t="shared" si="7"/>
        <v>8.4889643463497144E-3</v>
      </c>
      <c r="F221" s="1">
        <f t="shared" si="6"/>
        <v>19768230.899999999</v>
      </c>
    </row>
    <row r="222" spans="1:6" x14ac:dyDescent="0.3">
      <c r="A222" s="2">
        <v>45650</v>
      </c>
      <c r="B222" s="1">
        <v>29.66</v>
      </c>
      <c r="C222">
        <v>466414</v>
      </c>
      <c r="D222" s="1">
        <v>29.95</v>
      </c>
      <c r="E222" s="5">
        <f t="shared" si="7"/>
        <v>-1.3468013468013185E-3</v>
      </c>
      <c r="F222" s="1">
        <f t="shared" si="6"/>
        <v>13833839.24</v>
      </c>
    </row>
    <row r="223" spans="1:6" x14ac:dyDescent="0.3">
      <c r="A223" s="2">
        <v>45652</v>
      </c>
      <c r="B223" s="1">
        <v>29.89</v>
      </c>
      <c r="C223">
        <v>674827</v>
      </c>
      <c r="D223" s="1">
        <v>29.58</v>
      </c>
      <c r="E223" s="5">
        <f t="shared" si="7"/>
        <v>7.7545515846257906E-3</v>
      </c>
      <c r="F223" s="1">
        <f t="shared" si="6"/>
        <v>20170579.030000001</v>
      </c>
    </row>
    <row r="224" spans="1:6" x14ac:dyDescent="0.3">
      <c r="A224" s="2">
        <v>45653</v>
      </c>
      <c r="B224" s="1">
        <v>29.32</v>
      </c>
      <c r="C224">
        <v>741485</v>
      </c>
      <c r="D224" s="1">
        <v>29.89</v>
      </c>
      <c r="E224" s="5">
        <f t="shared" si="7"/>
        <v>-1.9069923051187709E-2</v>
      </c>
      <c r="F224" s="1">
        <f t="shared" si="6"/>
        <v>21740340.199999999</v>
      </c>
    </row>
    <row r="225" spans="1:6" x14ac:dyDescent="0.3">
      <c r="A225" s="2">
        <v>45656</v>
      </c>
      <c r="B225" s="1">
        <v>28.56</v>
      </c>
      <c r="C225">
        <v>888664</v>
      </c>
      <c r="D225" s="1">
        <v>28.94</v>
      </c>
      <c r="E225" s="5">
        <f t="shared" si="7"/>
        <v>-2.592087312414737E-2</v>
      </c>
      <c r="F225" s="1">
        <f t="shared" si="6"/>
        <v>25380243.84</v>
      </c>
    </row>
    <row r="226" spans="1:6" x14ac:dyDescent="0.3">
      <c r="A226" s="2">
        <v>45657</v>
      </c>
      <c r="B226" s="1">
        <v>28.28</v>
      </c>
      <c r="C226">
        <v>732813</v>
      </c>
      <c r="D226" s="1">
        <v>28.68</v>
      </c>
      <c r="E226" s="5">
        <f t="shared" si="7"/>
        <v>-9.8039215686274161E-3</v>
      </c>
      <c r="F226" s="1">
        <f t="shared" si="6"/>
        <v>20723951.640000001</v>
      </c>
    </row>
    <row r="227" spans="1:6" x14ac:dyDescent="0.3">
      <c r="A227" s="2">
        <v>45659</v>
      </c>
      <c r="B227" s="1">
        <v>29.66</v>
      </c>
      <c r="C227">
        <v>778810</v>
      </c>
      <c r="D227" s="1">
        <v>28.46</v>
      </c>
      <c r="E227" s="5">
        <f t="shared" si="7"/>
        <v>4.8797736916548651E-2</v>
      </c>
      <c r="F227" s="1">
        <f t="shared" si="6"/>
        <v>23099504.600000001</v>
      </c>
    </row>
    <row r="228" spans="1:6" x14ac:dyDescent="0.3">
      <c r="A228" s="2">
        <v>45660</v>
      </c>
      <c r="B228" s="1">
        <v>29.44</v>
      </c>
      <c r="C228">
        <v>655294</v>
      </c>
      <c r="D228" s="1">
        <v>29.67</v>
      </c>
      <c r="E228" s="5">
        <f t="shared" si="7"/>
        <v>-7.417397167902906E-3</v>
      </c>
      <c r="F228" s="1">
        <f t="shared" si="6"/>
        <v>19291855.359999999</v>
      </c>
    </row>
    <row r="229" spans="1:6" x14ac:dyDescent="0.3">
      <c r="A229" s="2">
        <v>45663</v>
      </c>
      <c r="B229" s="1">
        <v>30.21</v>
      </c>
      <c r="C229">
        <v>808694</v>
      </c>
      <c r="D229" s="1">
        <v>29.49</v>
      </c>
      <c r="E229" s="5">
        <f t="shared" si="7"/>
        <v>2.6154891304347894E-2</v>
      </c>
      <c r="F229" s="1">
        <f t="shared" si="6"/>
        <v>24430645.740000002</v>
      </c>
    </row>
    <row r="230" spans="1:6" x14ac:dyDescent="0.3">
      <c r="A230" s="2">
        <v>45664</v>
      </c>
      <c r="B230" s="1">
        <v>29.79</v>
      </c>
      <c r="C230">
        <v>478067</v>
      </c>
      <c r="D230" s="1">
        <v>30.5</v>
      </c>
      <c r="E230" s="5">
        <f t="shared" si="7"/>
        <v>-1.3902681231380387E-2</v>
      </c>
      <c r="F230" s="1">
        <f t="shared" si="6"/>
        <v>14241615.93</v>
      </c>
    </row>
    <row r="231" spans="1:6" x14ac:dyDescent="0.3">
      <c r="A231" s="2">
        <v>45665</v>
      </c>
      <c r="B231" s="1">
        <v>30.1</v>
      </c>
      <c r="C231">
        <v>694537</v>
      </c>
      <c r="D231" s="1">
        <v>29.64</v>
      </c>
      <c r="E231" s="5">
        <f t="shared" si="7"/>
        <v>1.0406176569318637E-2</v>
      </c>
      <c r="F231" s="1">
        <f t="shared" si="6"/>
        <v>20905563.699999999</v>
      </c>
    </row>
    <row r="232" spans="1:6" x14ac:dyDescent="0.3">
      <c r="A232" s="2">
        <v>45667</v>
      </c>
      <c r="B232" s="1">
        <v>30.98</v>
      </c>
      <c r="C232">
        <v>772515</v>
      </c>
      <c r="D232" s="1">
        <v>30.37</v>
      </c>
      <c r="E232" s="5">
        <f t="shared" si="7"/>
        <v>2.9235880398670977E-2</v>
      </c>
      <c r="F232" s="1">
        <f t="shared" si="6"/>
        <v>23932514.699999999</v>
      </c>
    </row>
    <row r="233" spans="1:6" x14ac:dyDescent="0.3">
      <c r="A233" s="2">
        <v>45670</v>
      </c>
      <c r="B233" s="1">
        <v>30.12</v>
      </c>
      <c r="C233">
        <v>730092</v>
      </c>
      <c r="D233" s="1">
        <v>30.52</v>
      </c>
      <c r="E233" s="5">
        <f t="shared" si="7"/>
        <v>-2.7759845061329891E-2</v>
      </c>
      <c r="F233" s="1">
        <f t="shared" si="6"/>
        <v>21990371.039999999</v>
      </c>
    </row>
    <row r="234" spans="1:6" x14ac:dyDescent="0.3">
      <c r="A234" s="2">
        <v>45671</v>
      </c>
      <c r="B234" s="1">
        <v>30.68</v>
      </c>
      <c r="C234">
        <v>513064</v>
      </c>
      <c r="D234" s="1">
        <v>30.05</v>
      </c>
      <c r="E234" s="5">
        <f t="shared" si="7"/>
        <v>1.8592297476759612E-2</v>
      </c>
      <c r="F234" s="1">
        <f t="shared" si="6"/>
        <v>15740803.52</v>
      </c>
    </row>
    <row r="235" spans="1:6" x14ac:dyDescent="0.3">
      <c r="A235" s="2">
        <v>45672</v>
      </c>
      <c r="B235" s="1">
        <v>30.06</v>
      </c>
      <c r="C235">
        <v>559024</v>
      </c>
      <c r="D235" s="1">
        <v>31.16</v>
      </c>
      <c r="E235" s="5">
        <f t="shared" si="7"/>
        <v>-2.0208604954367715E-2</v>
      </c>
      <c r="F235" s="1">
        <f t="shared" si="6"/>
        <v>16804261.439999998</v>
      </c>
    </row>
    <row r="236" spans="1:6" x14ac:dyDescent="0.3">
      <c r="A236" s="2">
        <v>45673</v>
      </c>
      <c r="B236" s="1">
        <v>29.91</v>
      </c>
      <c r="C236">
        <v>713455</v>
      </c>
      <c r="D236" s="1">
        <v>30.08</v>
      </c>
      <c r="E236" s="5">
        <f t="shared" si="7"/>
        <v>-4.9900199600797501E-3</v>
      </c>
      <c r="F236" s="1">
        <f t="shared" si="6"/>
        <v>21339439.050000001</v>
      </c>
    </row>
    <row r="237" spans="1:6" x14ac:dyDescent="0.3">
      <c r="A237" s="2">
        <v>45674</v>
      </c>
      <c r="B237" s="1">
        <v>29.51</v>
      </c>
      <c r="C237">
        <v>576031</v>
      </c>
      <c r="D237" s="1">
        <v>29.94</v>
      </c>
      <c r="E237" s="5">
        <f t="shared" si="7"/>
        <v>-1.3373453694416559E-2</v>
      </c>
      <c r="F237" s="1">
        <f t="shared" si="6"/>
        <v>16998674.810000002</v>
      </c>
    </row>
    <row r="238" spans="1:6" x14ac:dyDescent="0.3">
      <c r="A238" s="2">
        <v>45678</v>
      </c>
      <c r="B238" s="1">
        <v>29.93</v>
      </c>
      <c r="C238">
        <v>410659</v>
      </c>
      <c r="D238" s="1">
        <v>29.77</v>
      </c>
      <c r="E238" s="5">
        <f t="shared" si="7"/>
        <v>1.4232463571670628E-2</v>
      </c>
      <c r="F238" s="1">
        <f t="shared" si="6"/>
        <v>12291023.869999999</v>
      </c>
    </row>
    <row r="239" spans="1:6" x14ac:dyDescent="0.3">
      <c r="A239" s="2">
        <v>45679</v>
      </c>
      <c r="B239" s="1">
        <v>30.29</v>
      </c>
      <c r="C239">
        <v>535715</v>
      </c>
      <c r="D239" s="1">
        <v>29.8</v>
      </c>
      <c r="E239" s="5">
        <f t="shared" si="7"/>
        <v>1.2028065486134221E-2</v>
      </c>
      <c r="F239" s="1">
        <f t="shared" si="6"/>
        <v>16226807.35</v>
      </c>
    </row>
    <row r="240" spans="1:6" x14ac:dyDescent="0.3">
      <c r="A240" s="2">
        <v>45680</v>
      </c>
      <c r="B240" s="1">
        <v>30.2</v>
      </c>
      <c r="C240">
        <v>583538</v>
      </c>
      <c r="D240" s="1">
        <v>30.12</v>
      </c>
      <c r="E240" s="5">
        <f t="shared" si="7"/>
        <v>-2.9712776493892035E-3</v>
      </c>
      <c r="F240" s="1">
        <f t="shared" si="6"/>
        <v>17622847.599999998</v>
      </c>
    </row>
    <row r="241" spans="1:6" x14ac:dyDescent="0.3">
      <c r="A241" s="2">
        <v>45681</v>
      </c>
      <c r="B241" s="1">
        <v>30.82</v>
      </c>
      <c r="C241">
        <v>957407</v>
      </c>
      <c r="D241" s="1">
        <v>30.25</v>
      </c>
      <c r="E241" s="5">
        <f t="shared" si="7"/>
        <v>2.0529801324503438E-2</v>
      </c>
      <c r="F241" s="1">
        <f t="shared" si="6"/>
        <v>29507283.740000002</v>
      </c>
    </row>
    <row r="242" spans="1:6" x14ac:dyDescent="0.3">
      <c r="A242" s="2">
        <v>45684</v>
      </c>
      <c r="B242" s="1">
        <v>31.21</v>
      </c>
      <c r="C242">
        <v>759884</v>
      </c>
      <c r="D242" s="1">
        <v>30.29</v>
      </c>
      <c r="E242" s="5">
        <f t="shared" si="7"/>
        <v>1.2654120700843707E-2</v>
      </c>
      <c r="F242" s="1">
        <f t="shared" si="6"/>
        <v>23715979.640000001</v>
      </c>
    </row>
    <row r="243" spans="1:6" x14ac:dyDescent="0.3">
      <c r="A243" s="2">
        <v>45685</v>
      </c>
      <c r="B243" s="1">
        <v>30.21</v>
      </c>
      <c r="C243">
        <v>1023527</v>
      </c>
      <c r="D243" s="1">
        <v>31.43</v>
      </c>
      <c r="E243" s="5">
        <f t="shared" si="7"/>
        <v>-3.2041012495994892E-2</v>
      </c>
      <c r="F243" s="1">
        <f t="shared" si="6"/>
        <v>30920750.670000002</v>
      </c>
    </row>
    <row r="244" spans="1:6" x14ac:dyDescent="0.3">
      <c r="A244" s="2">
        <v>45686</v>
      </c>
      <c r="B244" s="1">
        <v>31.3</v>
      </c>
      <c r="C244">
        <v>610692</v>
      </c>
      <c r="D244" s="1">
        <v>30.36</v>
      </c>
      <c r="E244" s="5">
        <f t="shared" si="7"/>
        <v>3.6080767957629822E-2</v>
      </c>
      <c r="F244" s="1">
        <f t="shared" si="6"/>
        <v>19114659.600000001</v>
      </c>
    </row>
    <row r="245" spans="1:6" x14ac:dyDescent="0.3">
      <c r="A245" s="2">
        <v>45687</v>
      </c>
      <c r="B245" s="1">
        <v>30.33</v>
      </c>
      <c r="C245">
        <v>761005</v>
      </c>
      <c r="D245" s="1">
        <v>31.6</v>
      </c>
      <c r="E245" s="5">
        <f t="shared" si="7"/>
        <v>-3.0990415335463317E-2</v>
      </c>
      <c r="F245" s="1">
        <f t="shared" si="6"/>
        <v>23081281.649999999</v>
      </c>
    </row>
    <row r="246" spans="1:6" x14ac:dyDescent="0.3">
      <c r="A246" s="2">
        <v>45688</v>
      </c>
      <c r="B246" s="1">
        <v>31.02</v>
      </c>
      <c r="C246">
        <v>648298</v>
      </c>
      <c r="D246" s="1">
        <v>30.45</v>
      </c>
      <c r="E246" s="5">
        <f t="shared" si="7"/>
        <v>2.2749752720079064E-2</v>
      </c>
      <c r="F246" s="1">
        <f t="shared" si="6"/>
        <v>20110203.960000001</v>
      </c>
    </row>
    <row r="247" spans="1:6" x14ac:dyDescent="0.3">
      <c r="A247" s="2">
        <v>45691</v>
      </c>
      <c r="B247" s="1">
        <v>31.23</v>
      </c>
      <c r="C247">
        <v>675423</v>
      </c>
      <c r="D247" s="1">
        <v>30.84</v>
      </c>
      <c r="E247" s="5">
        <f t="shared" si="7"/>
        <v>6.7698259187620735E-3</v>
      </c>
      <c r="F247" s="1">
        <f t="shared" si="6"/>
        <v>21093460.289999999</v>
      </c>
    </row>
    <row r="248" spans="1:6" x14ac:dyDescent="0.3">
      <c r="A248" s="2">
        <v>45692</v>
      </c>
      <c r="B248" s="1">
        <v>29.39</v>
      </c>
      <c r="C248">
        <v>1651919</v>
      </c>
      <c r="D248" s="1">
        <v>29.81</v>
      </c>
      <c r="E248" s="5">
        <f t="shared" si="7"/>
        <v>-5.891770733269297E-2</v>
      </c>
      <c r="F248" s="1">
        <f t="shared" si="6"/>
        <v>48549899.410000004</v>
      </c>
    </row>
    <row r="249" spans="1:6" x14ac:dyDescent="0.3">
      <c r="A249" s="2">
        <v>45693</v>
      </c>
      <c r="B249" s="1">
        <v>28.57</v>
      </c>
      <c r="C249">
        <v>1422019</v>
      </c>
      <c r="D249" s="1">
        <v>29.3</v>
      </c>
      <c r="E249" s="5">
        <f t="shared" si="7"/>
        <v>-2.7900646478394076E-2</v>
      </c>
      <c r="F249" s="1">
        <f t="shared" si="6"/>
        <v>40627082.829999998</v>
      </c>
    </row>
    <row r="250" spans="1:6" x14ac:dyDescent="0.3">
      <c r="A250" s="2">
        <v>45694</v>
      </c>
      <c r="B250" s="1">
        <v>27.02</v>
      </c>
      <c r="C250">
        <v>8965933</v>
      </c>
      <c r="D250" s="1">
        <v>28.7</v>
      </c>
      <c r="E250" s="5">
        <f t="shared" si="7"/>
        <v>-5.4252712635631806E-2</v>
      </c>
      <c r="F250" s="1">
        <f t="shared" si="6"/>
        <v>242259509.66</v>
      </c>
    </row>
    <row r="251" spans="1:6" x14ac:dyDescent="0.3">
      <c r="A251" s="2">
        <v>45695</v>
      </c>
      <c r="B251" s="1">
        <v>27.48</v>
      </c>
      <c r="C251">
        <v>3302473</v>
      </c>
      <c r="D251" s="1">
        <v>27.2</v>
      </c>
      <c r="E251" s="5">
        <f t="shared" si="7"/>
        <v>1.7024426350851218E-2</v>
      </c>
      <c r="F251" s="1">
        <f t="shared" si="6"/>
        <v>90751958.040000007</v>
      </c>
    </row>
    <row r="252" spans="1:6" x14ac:dyDescent="0.3">
      <c r="A252" s="2">
        <v>45698</v>
      </c>
      <c r="B252" s="1">
        <v>27.26</v>
      </c>
      <c r="C252">
        <v>1563580</v>
      </c>
      <c r="D252" s="1">
        <v>27.29</v>
      </c>
      <c r="E252" s="5">
        <f t="shared" si="7"/>
        <v>-8.0058224163027658E-3</v>
      </c>
      <c r="F252" s="1">
        <f t="shared" si="6"/>
        <v>42623190.800000004</v>
      </c>
    </row>
    <row r="253" spans="1:6" x14ac:dyDescent="0.3">
      <c r="A253" s="2">
        <v>45699</v>
      </c>
      <c r="B253" s="1">
        <v>27.56</v>
      </c>
      <c r="C253">
        <v>2164313</v>
      </c>
      <c r="D253" s="1">
        <v>27.5</v>
      </c>
      <c r="E253" s="5">
        <f t="shared" si="7"/>
        <v>1.1005135730007165E-2</v>
      </c>
      <c r="F253" s="1">
        <f t="shared" si="6"/>
        <v>59648466.279999994</v>
      </c>
    </row>
    <row r="254" spans="1:6" x14ac:dyDescent="0.3">
      <c r="A254" s="2">
        <v>45700</v>
      </c>
      <c r="B254" s="1">
        <v>28.05</v>
      </c>
      <c r="C254">
        <v>1904915</v>
      </c>
      <c r="D254" s="1">
        <v>27.24</v>
      </c>
      <c r="E254" s="5">
        <f t="shared" si="7"/>
        <v>1.7779390420899821E-2</v>
      </c>
      <c r="F254" s="1">
        <f t="shared" si="6"/>
        <v>53432865.75</v>
      </c>
    </row>
    <row r="255" spans="1:6" x14ac:dyDescent="0.3">
      <c r="A255" s="2">
        <v>45701</v>
      </c>
      <c r="B255" s="1">
        <v>27.99</v>
      </c>
      <c r="C255">
        <v>1139650</v>
      </c>
      <c r="D255" s="1">
        <v>28.32</v>
      </c>
      <c r="E255" s="5">
        <f t="shared" si="7"/>
        <v>-2.1390374331551332E-3</v>
      </c>
      <c r="F255" s="1">
        <f t="shared" si="6"/>
        <v>31898803.5</v>
      </c>
    </row>
    <row r="256" spans="1:6" x14ac:dyDescent="0.3">
      <c r="A256" s="2">
        <v>45702</v>
      </c>
      <c r="B256" s="1">
        <v>28.02</v>
      </c>
      <c r="C256">
        <v>1093901</v>
      </c>
      <c r="D256" s="1">
        <v>28.05</v>
      </c>
      <c r="E256" s="5">
        <f t="shared" si="7"/>
        <v>1.071811361200492E-3</v>
      </c>
      <c r="F256" s="1">
        <f t="shared" si="6"/>
        <v>30651106.02</v>
      </c>
    </row>
    <row r="257" spans="1:6" x14ac:dyDescent="0.3">
      <c r="A257" s="2">
        <v>45706</v>
      </c>
      <c r="B257" s="1">
        <v>28.15</v>
      </c>
      <c r="C257">
        <v>899872</v>
      </c>
      <c r="D257" s="1">
        <v>28.02</v>
      </c>
      <c r="E257" s="5">
        <f t="shared" si="7"/>
        <v>4.6395431834402867E-3</v>
      </c>
      <c r="F257" s="1">
        <f t="shared" si="6"/>
        <v>25331396.799999997</v>
      </c>
    </row>
    <row r="258" spans="1:6" x14ac:dyDescent="0.3">
      <c r="A258" s="2">
        <v>45707</v>
      </c>
      <c r="B258" s="1">
        <v>28.43</v>
      </c>
      <c r="C258">
        <v>1011084</v>
      </c>
      <c r="D258" s="1">
        <v>28.29</v>
      </c>
      <c r="E258" s="5">
        <f t="shared" si="7"/>
        <v>9.9467140319715597E-3</v>
      </c>
      <c r="F258" s="1">
        <f t="shared" si="6"/>
        <v>28745118.120000001</v>
      </c>
    </row>
    <row r="259" spans="1:6" x14ac:dyDescent="0.3">
      <c r="A259" s="2">
        <v>45708</v>
      </c>
      <c r="B259" s="1">
        <v>28.42</v>
      </c>
      <c r="C259">
        <v>1167834</v>
      </c>
      <c r="D259" s="1">
        <v>28.69</v>
      </c>
      <c r="E259" s="5">
        <f t="shared" si="7"/>
        <v>-3.5174111853664147E-4</v>
      </c>
      <c r="F259" s="1">
        <f t="shared" ref="F259:F322" si="8">C259*B259</f>
        <v>33189842.280000001</v>
      </c>
    </row>
    <row r="260" spans="1:6" x14ac:dyDescent="0.3">
      <c r="A260" s="2">
        <v>45709</v>
      </c>
      <c r="B260" s="1">
        <v>28.03</v>
      </c>
      <c r="C260">
        <v>562114</v>
      </c>
      <c r="D260" s="1">
        <v>28.58</v>
      </c>
      <c r="E260" s="5">
        <f t="shared" ref="E260:E323" si="9">(B260/B259)-1</f>
        <v>-1.3722730471498967E-2</v>
      </c>
      <c r="F260" s="1">
        <f t="shared" si="8"/>
        <v>15756055.42</v>
      </c>
    </row>
    <row r="261" spans="1:6" x14ac:dyDescent="0.3">
      <c r="A261" s="2">
        <v>45712</v>
      </c>
      <c r="B261" s="1">
        <v>27.89</v>
      </c>
      <c r="C261">
        <v>708533</v>
      </c>
      <c r="D261" s="1">
        <v>28.03</v>
      </c>
      <c r="E261" s="5">
        <f t="shared" si="9"/>
        <v>-4.9946485907955696E-3</v>
      </c>
      <c r="F261" s="1">
        <f t="shared" si="8"/>
        <v>19760985.370000001</v>
      </c>
    </row>
    <row r="262" spans="1:6" x14ac:dyDescent="0.3">
      <c r="A262" s="2">
        <v>45713</v>
      </c>
      <c r="B262" s="1">
        <v>27.66</v>
      </c>
      <c r="C262">
        <v>603497</v>
      </c>
      <c r="D262" s="1">
        <v>27.9</v>
      </c>
      <c r="E262" s="5">
        <f t="shared" si="9"/>
        <v>-8.2466833990677557E-3</v>
      </c>
      <c r="F262" s="1">
        <f t="shared" si="8"/>
        <v>16692727.02</v>
      </c>
    </row>
    <row r="263" spans="1:6" x14ac:dyDescent="0.3">
      <c r="A263" s="2">
        <v>45714</v>
      </c>
      <c r="B263" s="1">
        <v>27.48</v>
      </c>
      <c r="C263">
        <v>500735</v>
      </c>
      <c r="D263" s="1">
        <v>27.59</v>
      </c>
      <c r="E263" s="5">
        <f t="shared" si="9"/>
        <v>-6.5075921908893664E-3</v>
      </c>
      <c r="F263" s="1">
        <f t="shared" si="8"/>
        <v>13760197.800000001</v>
      </c>
    </row>
    <row r="264" spans="1:6" x14ac:dyDescent="0.3">
      <c r="A264" s="2">
        <v>45715</v>
      </c>
      <c r="B264" s="1">
        <v>26.21</v>
      </c>
      <c r="C264">
        <v>942533</v>
      </c>
      <c r="D264" s="1">
        <v>27.42</v>
      </c>
      <c r="E264" s="5">
        <f t="shared" si="9"/>
        <v>-4.6215429403202335E-2</v>
      </c>
      <c r="F264" s="1">
        <f t="shared" si="8"/>
        <v>24703789.93</v>
      </c>
    </row>
    <row r="265" spans="1:6" x14ac:dyDescent="0.3">
      <c r="A265" s="2">
        <v>45716</v>
      </c>
      <c r="B265" s="1">
        <v>26.62</v>
      </c>
      <c r="C265">
        <v>797044</v>
      </c>
      <c r="D265" s="1">
        <v>26.02</v>
      </c>
      <c r="E265" s="5">
        <f t="shared" si="9"/>
        <v>1.5642884395268952E-2</v>
      </c>
      <c r="F265" s="1">
        <f t="shared" si="8"/>
        <v>21217311.280000001</v>
      </c>
    </row>
    <row r="266" spans="1:6" x14ac:dyDescent="0.3">
      <c r="A266" s="2">
        <v>45719</v>
      </c>
      <c r="B266" s="1">
        <v>25.72</v>
      </c>
      <c r="C266">
        <v>610176</v>
      </c>
      <c r="D266" s="1">
        <v>26.76</v>
      </c>
      <c r="E266" s="5">
        <f t="shared" si="9"/>
        <v>-3.3809166040571048E-2</v>
      </c>
      <c r="F266" s="1">
        <f t="shared" si="8"/>
        <v>15693726.719999999</v>
      </c>
    </row>
    <row r="267" spans="1:6" x14ac:dyDescent="0.3">
      <c r="A267" s="2">
        <v>45720</v>
      </c>
      <c r="B267" s="1">
        <v>25.23</v>
      </c>
      <c r="C267">
        <v>1438546</v>
      </c>
      <c r="D267" s="1">
        <v>25.5</v>
      </c>
      <c r="E267" s="5">
        <f t="shared" si="9"/>
        <v>-1.9051321928460263E-2</v>
      </c>
      <c r="F267" s="1">
        <f t="shared" si="8"/>
        <v>36294515.579999998</v>
      </c>
    </row>
    <row r="268" spans="1:6" x14ac:dyDescent="0.3">
      <c r="A268" s="2">
        <v>45721</v>
      </c>
      <c r="B268" s="1">
        <v>25.32</v>
      </c>
      <c r="C268">
        <v>485240</v>
      </c>
      <c r="D268" s="1">
        <v>25.2</v>
      </c>
      <c r="E268" s="5">
        <f t="shared" si="9"/>
        <v>3.5671819262781401E-3</v>
      </c>
      <c r="F268" s="1">
        <f t="shared" si="8"/>
        <v>12286276.800000001</v>
      </c>
    </row>
    <row r="269" spans="1:6" x14ac:dyDescent="0.3">
      <c r="A269" s="2">
        <v>45722</v>
      </c>
      <c r="B269" s="1">
        <v>24.45</v>
      </c>
      <c r="C269">
        <v>610037</v>
      </c>
      <c r="D269" s="1">
        <v>25.29</v>
      </c>
      <c r="E269" s="5">
        <f t="shared" si="9"/>
        <v>-3.4360189573459765E-2</v>
      </c>
      <c r="F269" s="1">
        <f t="shared" si="8"/>
        <v>14915404.65</v>
      </c>
    </row>
    <row r="270" spans="1:6" x14ac:dyDescent="0.3">
      <c r="A270" s="2">
        <v>45723</v>
      </c>
      <c r="B270" s="1">
        <v>24.94</v>
      </c>
      <c r="C270">
        <v>1500903</v>
      </c>
      <c r="D270" s="1">
        <v>24.52</v>
      </c>
      <c r="E270" s="5">
        <f t="shared" si="9"/>
        <v>2.0040899795501055E-2</v>
      </c>
      <c r="F270" s="1">
        <f t="shared" si="8"/>
        <v>37432520.82</v>
      </c>
    </row>
    <row r="271" spans="1:6" x14ac:dyDescent="0.3">
      <c r="A271" s="2">
        <v>45726</v>
      </c>
      <c r="B271" s="1">
        <v>24.1</v>
      </c>
      <c r="C271">
        <v>2348728</v>
      </c>
      <c r="D271" s="1">
        <v>24.53</v>
      </c>
      <c r="E271" s="5">
        <f t="shared" si="9"/>
        <v>-3.3680834001603821E-2</v>
      </c>
      <c r="F271" s="1">
        <f t="shared" si="8"/>
        <v>56604344.800000004</v>
      </c>
    </row>
    <row r="272" spans="1:6" x14ac:dyDescent="0.3">
      <c r="A272" s="2">
        <v>45727</v>
      </c>
      <c r="B272" s="1">
        <v>24.5</v>
      </c>
      <c r="C272">
        <v>890151</v>
      </c>
      <c r="D272" s="1">
        <v>24.1</v>
      </c>
      <c r="E272" s="5">
        <f t="shared" si="9"/>
        <v>1.6597510373443924E-2</v>
      </c>
      <c r="F272" s="1">
        <f t="shared" si="8"/>
        <v>21808699.5</v>
      </c>
    </row>
    <row r="273" spans="1:6" x14ac:dyDescent="0.3">
      <c r="A273" s="2">
        <v>45728</v>
      </c>
      <c r="B273" s="1">
        <v>25.21</v>
      </c>
      <c r="C273">
        <v>692536</v>
      </c>
      <c r="D273" s="1">
        <v>24.85</v>
      </c>
      <c r="E273" s="5">
        <f t="shared" si="9"/>
        <v>2.8979591836734819E-2</v>
      </c>
      <c r="F273" s="1">
        <f t="shared" si="8"/>
        <v>17458832.560000002</v>
      </c>
    </row>
    <row r="274" spans="1:6" x14ac:dyDescent="0.3">
      <c r="A274" s="2">
        <v>45729</v>
      </c>
      <c r="B274" s="1">
        <v>24.52</v>
      </c>
      <c r="C274">
        <v>343723</v>
      </c>
      <c r="D274" s="1">
        <v>24.96</v>
      </c>
      <c r="E274" s="5">
        <f t="shared" si="9"/>
        <v>-2.7370091233637539E-2</v>
      </c>
      <c r="F274" s="1">
        <f t="shared" si="8"/>
        <v>8428087.959999999</v>
      </c>
    </row>
    <row r="275" spans="1:6" x14ac:dyDescent="0.3">
      <c r="A275" s="2">
        <v>45730</v>
      </c>
      <c r="B275" s="1">
        <v>25.06</v>
      </c>
      <c r="C275">
        <v>389995</v>
      </c>
      <c r="D275" s="1">
        <v>24.78</v>
      </c>
      <c r="E275" s="5">
        <f t="shared" si="9"/>
        <v>2.2022838499184294E-2</v>
      </c>
      <c r="F275" s="1">
        <f t="shared" si="8"/>
        <v>9773274.6999999993</v>
      </c>
    </row>
    <row r="276" spans="1:6" x14ac:dyDescent="0.3">
      <c r="A276" s="2">
        <v>45733</v>
      </c>
      <c r="B276" s="1">
        <v>25.06</v>
      </c>
      <c r="C276">
        <v>570438</v>
      </c>
      <c r="D276" s="1">
        <v>25.18</v>
      </c>
      <c r="E276" s="5">
        <f t="shared" si="9"/>
        <v>0</v>
      </c>
      <c r="F276" s="1">
        <f t="shared" si="8"/>
        <v>14295176.279999999</v>
      </c>
    </row>
    <row r="277" spans="1:6" x14ac:dyDescent="0.3">
      <c r="A277" s="2">
        <v>45734</v>
      </c>
      <c r="B277" s="1">
        <v>24.23</v>
      </c>
      <c r="C277">
        <v>435673</v>
      </c>
      <c r="D277" s="1">
        <v>24.74</v>
      </c>
      <c r="E277" s="5">
        <f t="shared" si="9"/>
        <v>-3.312051077414202E-2</v>
      </c>
      <c r="F277" s="1">
        <f t="shared" si="8"/>
        <v>10556356.790000001</v>
      </c>
    </row>
    <row r="278" spans="1:6" x14ac:dyDescent="0.3">
      <c r="A278" s="2">
        <v>45735</v>
      </c>
      <c r="B278" s="1">
        <v>24.2</v>
      </c>
      <c r="C278">
        <v>677595</v>
      </c>
      <c r="D278" s="1">
        <v>24.15</v>
      </c>
      <c r="E278" s="5">
        <f t="shared" si="9"/>
        <v>-1.2381345439538283E-3</v>
      </c>
      <c r="F278" s="1">
        <f t="shared" si="8"/>
        <v>16397799</v>
      </c>
    </row>
    <row r="279" spans="1:6" x14ac:dyDescent="0.3">
      <c r="A279" s="2">
        <v>45736</v>
      </c>
      <c r="B279" s="1">
        <v>25.65</v>
      </c>
      <c r="C279">
        <v>968079</v>
      </c>
      <c r="D279" s="1">
        <v>24.36</v>
      </c>
      <c r="E279" s="5">
        <f t="shared" si="9"/>
        <v>5.9917355371900793E-2</v>
      </c>
      <c r="F279" s="1">
        <f t="shared" si="8"/>
        <v>24831226.349999998</v>
      </c>
    </row>
    <row r="280" spans="1:6" x14ac:dyDescent="0.3">
      <c r="A280" s="2">
        <v>45737</v>
      </c>
      <c r="B280" s="1">
        <v>25.84</v>
      </c>
      <c r="C280">
        <v>289530</v>
      </c>
      <c r="D280" s="1">
        <v>25.26</v>
      </c>
      <c r="E280" s="5">
        <f t="shared" si="9"/>
        <v>7.4074074074075291E-3</v>
      </c>
      <c r="F280" s="1">
        <f t="shared" si="8"/>
        <v>7481455.2000000002</v>
      </c>
    </row>
    <row r="281" spans="1:6" x14ac:dyDescent="0.3">
      <c r="A281" s="2">
        <v>45740</v>
      </c>
      <c r="B281" s="1">
        <v>26.81</v>
      </c>
      <c r="C281">
        <v>296744</v>
      </c>
      <c r="D281" s="1">
        <v>25.9</v>
      </c>
      <c r="E281" s="5">
        <f t="shared" si="9"/>
        <v>3.7538699690402355E-2</v>
      </c>
      <c r="F281" s="1">
        <f t="shared" si="8"/>
        <v>7955706.6399999997</v>
      </c>
    </row>
    <row r="282" spans="1:6" x14ac:dyDescent="0.3">
      <c r="A282" s="2">
        <v>45741</v>
      </c>
      <c r="B282" s="1">
        <v>26.84</v>
      </c>
      <c r="C282">
        <v>679030</v>
      </c>
      <c r="D282" s="1">
        <v>26.99</v>
      </c>
      <c r="E282" s="5">
        <f t="shared" si="9"/>
        <v>1.1189854531892252E-3</v>
      </c>
      <c r="F282" s="1">
        <f t="shared" si="8"/>
        <v>18225165.199999999</v>
      </c>
    </row>
    <row r="283" spans="1:6" x14ac:dyDescent="0.3">
      <c r="A283" s="2">
        <v>45742</v>
      </c>
      <c r="B283" s="1">
        <v>26.67</v>
      </c>
      <c r="C283">
        <v>819336</v>
      </c>
      <c r="D283" s="1">
        <v>27.2</v>
      </c>
      <c r="E283" s="5">
        <f t="shared" si="9"/>
        <v>-6.3338301043218692E-3</v>
      </c>
      <c r="F283" s="1">
        <f t="shared" si="8"/>
        <v>21851691.120000001</v>
      </c>
    </row>
    <row r="284" spans="1:6" x14ac:dyDescent="0.3">
      <c r="A284" s="2">
        <v>45743</v>
      </c>
      <c r="B284" s="1">
        <v>26.97</v>
      </c>
      <c r="C284">
        <v>854619</v>
      </c>
      <c r="D284" s="1">
        <v>26.91</v>
      </c>
      <c r="E284" s="5">
        <f t="shared" si="9"/>
        <v>1.1248593925759165E-2</v>
      </c>
      <c r="F284" s="1">
        <f t="shared" si="8"/>
        <v>23049074.43</v>
      </c>
    </row>
    <row r="285" spans="1:6" x14ac:dyDescent="0.3">
      <c r="A285" s="2">
        <v>45744</v>
      </c>
      <c r="B285" s="1">
        <v>26.74</v>
      </c>
      <c r="C285">
        <v>891703</v>
      </c>
      <c r="D285" s="1">
        <v>26.76</v>
      </c>
      <c r="E285" s="5">
        <f t="shared" si="9"/>
        <v>-8.5279940674823917E-3</v>
      </c>
      <c r="F285" s="1">
        <f t="shared" si="8"/>
        <v>23844138.219999999</v>
      </c>
    </row>
    <row r="286" spans="1:6" x14ac:dyDescent="0.3">
      <c r="A286" s="2">
        <v>45747</v>
      </c>
      <c r="B286" s="1">
        <v>26.68</v>
      </c>
      <c r="C286">
        <v>752944</v>
      </c>
      <c r="D286" s="1">
        <v>26.05</v>
      </c>
      <c r="E286" s="5">
        <f t="shared" si="9"/>
        <v>-2.24382946896029E-3</v>
      </c>
      <c r="F286" s="1">
        <f t="shared" si="8"/>
        <v>20088545.919999998</v>
      </c>
    </row>
    <row r="287" spans="1:6" x14ac:dyDescent="0.3">
      <c r="A287" s="2">
        <v>45748</v>
      </c>
      <c r="B287" s="1">
        <v>26.82</v>
      </c>
      <c r="C287">
        <v>726433</v>
      </c>
      <c r="D287" s="1">
        <v>26.58</v>
      </c>
      <c r="E287" s="5">
        <f t="shared" si="9"/>
        <v>5.2473763118441319E-3</v>
      </c>
      <c r="F287" s="1">
        <f t="shared" si="8"/>
        <v>19482933.059999999</v>
      </c>
    </row>
    <row r="288" spans="1:6" x14ac:dyDescent="0.3">
      <c r="A288" s="2">
        <v>45749</v>
      </c>
      <c r="B288" s="1">
        <v>27.25</v>
      </c>
      <c r="C288">
        <v>453081</v>
      </c>
      <c r="D288" s="1">
        <v>26.42</v>
      </c>
      <c r="E288" s="5">
        <f t="shared" si="9"/>
        <v>1.6032811334824704E-2</v>
      </c>
      <c r="F288" s="1">
        <f t="shared" si="8"/>
        <v>12346457.25</v>
      </c>
    </row>
    <row r="289" spans="1:6" x14ac:dyDescent="0.3">
      <c r="A289" s="2">
        <v>45750</v>
      </c>
      <c r="B289" s="1">
        <v>28.08</v>
      </c>
      <c r="C289">
        <v>916849</v>
      </c>
      <c r="D289" s="1">
        <v>26.62</v>
      </c>
      <c r="E289" s="5">
        <f t="shared" si="9"/>
        <v>3.0458715596330288E-2</v>
      </c>
      <c r="F289" s="1">
        <f t="shared" si="8"/>
        <v>25745119.919999998</v>
      </c>
    </row>
    <row r="290" spans="1:6" x14ac:dyDescent="0.3">
      <c r="A290" s="2">
        <v>45751</v>
      </c>
      <c r="B290" s="1">
        <v>25.27</v>
      </c>
      <c r="C290">
        <v>1192048</v>
      </c>
      <c r="D290" s="1">
        <v>27.49</v>
      </c>
      <c r="E290" s="5">
        <f t="shared" si="9"/>
        <v>-0.10007122507122501</v>
      </c>
      <c r="F290" s="1">
        <f t="shared" si="8"/>
        <v>30123052.960000001</v>
      </c>
    </row>
    <row r="291" spans="1:6" x14ac:dyDescent="0.3">
      <c r="A291" s="2">
        <v>45754</v>
      </c>
      <c r="B291" s="1">
        <v>24.86</v>
      </c>
      <c r="C291">
        <v>927806</v>
      </c>
      <c r="D291" s="1">
        <v>23.97</v>
      </c>
      <c r="E291" s="5">
        <f t="shared" si="9"/>
        <v>-1.6224772457459458E-2</v>
      </c>
      <c r="F291" s="1">
        <f t="shared" si="8"/>
        <v>23065257.16</v>
      </c>
    </row>
    <row r="292" spans="1:6" x14ac:dyDescent="0.3">
      <c r="A292" s="2">
        <v>45755</v>
      </c>
      <c r="B292" s="1">
        <v>24.84</v>
      </c>
      <c r="C292">
        <v>727543</v>
      </c>
      <c r="D292" s="1">
        <v>25.53</v>
      </c>
      <c r="E292" s="5">
        <f t="shared" si="9"/>
        <v>-8.045052292839916E-4</v>
      </c>
      <c r="F292" s="1">
        <f t="shared" si="8"/>
        <v>18072168.120000001</v>
      </c>
    </row>
    <row r="293" spans="1:6" x14ac:dyDescent="0.3">
      <c r="A293" s="2">
        <v>45756</v>
      </c>
      <c r="B293" s="1">
        <v>26.43</v>
      </c>
      <c r="C293">
        <v>1382931</v>
      </c>
      <c r="D293" s="1">
        <v>24.74</v>
      </c>
      <c r="E293" s="5">
        <f t="shared" si="9"/>
        <v>6.4009661835748854E-2</v>
      </c>
      <c r="F293" s="1">
        <f t="shared" si="8"/>
        <v>36550866.329999998</v>
      </c>
    </row>
    <row r="294" spans="1:6" x14ac:dyDescent="0.3">
      <c r="A294" s="2">
        <v>45757</v>
      </c>
      <c r="B294" s="1">
        <v>26.65</v>
      </c>
      <c r="C294">
        <v>838692</v>
      </c>
      <c r="D294" s="1">
        <v>25.3</v>
      </c>
      <c r="E294" s="5">
        <f t="shared" si="9"/>
        <v>8.3238743851683505E-3</v>
      </c>
      <c r="F294" s="1">
        <f t="shared" si="8"/>
        <v>22351141.799999997</v>
      </c>
    </row>
    <row r="295" spans="1:6" x14ac:dyDescent="0.3">
      <c r="A295" s="2">
        <v>45758</v>
      </c>
      <c r="B295" s="1">
        <v>27.18</v>
      </c>
      <c r="C295">
        <v>614124</v>
      </c>
      <c r="D295" s="1">
        <v>26.65</v>
      </c>
      <c r="E295" s="5">
        <f t="shared" si="9"/>
        <v>1.9887429643527188E-2</v>
      </c>
      <c r="F295" s="1">
        <f t="shared" si="8"/>
        <v>16691890.32</v>
      </c>
    </row>
    <row r="296" spans="1:6" x14ac:dyDescent="0.3">
      <c r="A296" s="2">
        <v>45761</v>
      </c>
      <c r="B296" s="1">
        <v>27.22</v>
      </c>
      <c r="C296">
        <v>641676</v>
      </c>
      <c r="D296" s="1">
        <v>27.6</v>
      </c>
      <c r="E296" s="5">
        <f t="shared" si="9"/>
        <v>1.4716703458423908E-3</v>
      </c>
      <c r="F296" s="1">
        <f t="shared" si="8"/>
        <v>17466420.719999999</v>
      </c>
    </row>
    <row r="297" spans="1:6" x14ac:dyDescent="0.3">
      <c r="A297" s="2">
        <v>45762</v>
      </c>
      <c r="B297" s="1">
        <v>26.71</v>
      </c>
      <c r="C297">
        <v>394837</v>
      </c>
      <c r="D297" s="1">
        <v>27.2</v>
      </c>
      <c r="E297" s="5">
        <f t="shared" si="9"/>
        <v>-1.8736223365172555E-2</v>
      </c>
      <c r="F297" s="1">
        <f t="shared" si="8"/>
        <v>10546096.27</v>
      </c>
    </row>
    <row r="298" spans="1:6" x14ac:dyDescent="0.3">
      <c r="A298" s="2">
        <v>45763</v>
      </c>
      <c r="B298" s="1">
        <v>25.76</v>
      </c>
      <c r="C298">
        <v>552742</v>
      </c>
      <c r="D298" s="1">
        <v>26.77</v>
      </c>
      <c r="E298" s="5">
        <f t="shared" si="9"/>
        <v>-3.5567203294646133E-2</v>
      </c>
      <c r="F298" s="1">
        <f t="shared" si="8"/>
        <v>14238633.920000002</v>
      </c>
    </row>
    <row r="299" spans="1:6" x14ac:dyDescent="0.3">
      <c r="A299" s="2">
        <v>45764</v>
      </c>
      <c r="B299" s="1">
        <v>25.99</v>
      </c>
      <c r="C299">
        <v>718242</v>
      </c>
      <c r="D299" s="1">
        <v>25.73</v>
      </c>
      <c r="E299" s="5">
        <f t="shared" si="9"/>
        <v>8.9285714285713969E-3</v>
      </c>
      <c r="F299" s="1">
        <f t="shared" si="8"/>
        <v>18667109.579999998</v>
      </c>
    </row>
    <row r="300" spans="1:6" x14ac:dyDescent="0.3">
      <c r="A300" s="2">
        <v>45768</v>
      </c>
      <c r="B300" s="1">
        <v>26.94</v>
      </c>
      <c r="C300">
        <v>1094901</v>
      </c>
      <c r="D300" s="1">
        <v>26.44</v>
      </c>
      <c r="E300" s="5">
        <f t="shared" si="9"/>
        <v>3.6552520200077154E-2</v>
      </c>
      <c r="F300" s="1">
        <f t="shared" si="8"/>
        <v>29496632.940000001</v>
      </c>
    </row>
    <row r="301" spans="1:6" x14ac:dyDescent="0.3">
      <c r="A301" s="2">
        <v>45769</v>
      </c>
      <c r="B301" s="1">
        <v>28.06</v>
      </c>
      <c r="C301">
        <v>692880</v>
      </c>
      <c r="D301" s="1">
        <v>27.43</v>
      </c>
      <c r="E301" s="5">
        <f t="shared" si="9"/>
        <v>4.1573867854491464E-2</v>
      </c>
      <c r="F301" s="1">
        <f t="shared" si="8"/>
        <v>19442212.800000001</v>
      </c>
    </row>
    <row r="302" spans="1:6" x14ac:dyDescent="0.3">
      <c r="A302" s="2">
        <v>45770</v>
      </c>
      <c r="B302" s="1">
        <v>28.88</v>
      </c>
      <c r="C302">
        <v>753316</v>
      </c>
      <c r="D302" s="1">
        <v>28.4</v>
      </c>
      <c r="E302" s="5">
        <f t="shared" si="9"/>
        <v>2.9223093371347098E-2</v>
      </c>
      <c r="F302" s="1">
        <f t="shared" si="8"/>
        <v>21755766.079999998</v>
      </c>
    </row>
    <row r="303" spans="1:6" x14ac:dyDescent="0.3">
      <c r="A303" s="2">
        <v>45771</v>
      </c>
      <c r="B303" s="1">
        <v>30.05</v>
      </c>
      <c r="C303">
        <v>556588</v>
      </c>
      <c r="D303" s="1">
        <v>29.22</v>
      </c>
      <c r="E303" s="5">
        <f t="shared" si="9"/>
        <v>4.0512465373961248E-2</v>
      </c>
      <c r="F303" s="1">
        <f t="shared" si="8"/>
        <v>16725469.4</v>
      </c>
    </row>
    <row r="304" spans="1:6" x14ac:dyDescent="0.3">
      <c r="A304" s="2">
        <v>45772</v>
      </c>
      <c r="B304" s="1">
        <v>30.19</v>
      </c>
      <c r="C304">
        <v>564304</v>
      </c>
      <c r="D304" s="1">
        <v>30.05</v>
      </c>
      <c r="E304" s="5">
        <f t="shared" si="9"/>
        <v>4.6589018302829466E-3</v>
      </c>
      <c r="F304" s="1">
        <f t="shared" si="8"/>
        <v>17036337.760000002</v>
      </c>
    </row>
    <row r="305" spans="1:6" x14ac:dyDescent="0.3">
      <c r="A305" s="2">
        <v>45775</v>
      </c>
      <c r="B305" s="1">
        <v>30.26</v>
      </c>
      <c r="C305">
        <v>370873</v>
      </c>
      <c r="D305" s="1">
        <v>30.25</v>
      </c>
      <c r="E305" s="5">
        <f t="shared" si="9"/>
        <v>2.3186485591255579E-3</v>
      </c>
      <c r="F305" s="1">
        <f t="shared" si="8"/>
        <v>11222616.98</v>
      </c>
    </row>
    <row r="306" spans="1:6" x14ac:dyDescent="0.3">
      <c r="A306" s="2">
        <v>45776</v>
      </c>
      <c r="B306" s="1">
        <v>30.28</v>
      </c>
      <c r="C306">
        <v>578930</v>
      </c>
      <c r="D306" s="1">
        <v>30.51</v>
      </c>
      <c r="E306" s="5">
        <f t="shared" si="9"/>
        <v>6.6093853271653735E-4</v>
      </c>
      <c r="F306" s="1">
        <f t="shared" si="8"/>
        <v>17530000.400000002</v>
      </c>
    </row>
    <row r="307" spans="1:6" x14ac:dyDescent="0.3">
      <c r="A307" s="2">
        <v>45777</v>
      </c>
      <c r="B307" s="1">
        <v>30.56</v>
      </c>
      <c r="C307">
        <v>384005</v>
      </c>
      <c r="D307" s="1">
        <v>30.13</v>
      </c>
      <c r="E307" s="5">
        <f t="shared" si="9"/>
        <v>9.2470277410832136E-3</v>
      </c>
      <c r="F307" s="1">
        <f t="shared" si="8"/>
        <v>11735192.799999999</v>
      </c>
    </row>
    <row r="308" spans="1:6" x14ac:dyDescent="0.3">
      <c r="A308" s="2">
        <v>45778</v>
      </c>
      <c r="B308" s="1">
        <v>30.13</v>
      </c>
      <c r="C308">
        <v>433270</v>
      </c>
      <c r="D308" s="1">
        <v>30.6</v>
      </c>
      <c r="E308" s="5">
        <f t="shared" si="9"/>
        <v>-1.4070680628272214E-2</v>
      </c>
      <c r="F308" s="1">
        <f t="shared" si="8"/>
        <v>13054425.1</v>
      </c>
    </row>
    <row r="309" spans="1:6" x14ac:dyDescent="0.3">
      <c r="A309" s="2">
        <v>45779</v>
      </c>
      <c r="B309" s="1">
        <v>30.39</v>
      </c>
      <c r="C309">
        <v>1061693</v>
      </c>
      <c r="D309" s="1">
        <v>30.4</v>
      </c>
      <c r="E309" s="5">
        <f t="shared" si="9"/>
        <v>8.6292731496846464E-3</v>
      </c>
      <c r="F309" s="1">
        <f t="shared" si="8"/>
        <v>32264850.27</v>
      </c>
    </row>
    <row r="310" spans="1:6" x14ac:dyDescent="0.3">
      <c r="A310" s="2">
        <v>45782</v>
      </c>
      <c r="B310" s="1">
        <v>30.9</v>
      </c>
      <c r="C310">
        <v>456844</v>
      </c>
      <c r="D310" s="1">
        <v>30.5</v>
      </c>
      <c r="E310" s="5">
        <f t="shared" si="9"/>
        <v>1.6781836130306038E-2</v>
      </c>
      <c r="F310" s="1">
        <f t="shared" si="8"/>
        <v>14116479.6</v>
      </c>
    </row>
    <row r="311" spans="1:6" x14ac:dyDescent="0.3">
      <c r="A311" s="2">
        <v>45783</v>
      </c>
      <c r="B311" s="1">
        <v>31.01</v>
      </c>
      <c r="C311">
        <v>410360</v>
      </c>
      <c r="D311" s="1">
        <v>30.46</v>
      </c>
      <c r="E311" s="5">
        <f t="shared" si="9"/>
        <v>3.5598705501618255E-3</v>
      </c>
      <c r="F311" s="1">
        <f t="shared" si="8"/>
        <v>12725263.600000001</v>
      </c>
    </row>
    <row r="312" spans="1:6" x14ac:dyDescent="0.3">
      <c r="A312" s="2">
        <v>45784</v>
      </c>
      <c r="B312" s="1">
        <v>30.98</v>
      </c>
      <c r="C312">
        <v>652312</v>
      </c>
      <c r="D312" s="1">
        <v>30.15</v>
      </c>
      <c r="E312" s="5">
        <f t="shared" si="9"/>
        <v>-9.6742986133513398E-4</v>
      </c>
      <c r="F312" s="1">
        <f t="shared" si="8"/>
        <v>20208625.760000002</v>
      </c>
    </row>
    <row r="313" spans="1:6" x14ac:dyDescent="0.3">
      <c r="A313" s="2">
        <v>45785</v>
      </c>
      <c r="B313" s="1">
        <v>28.44</v>
      </c>
      <c r="C313">
        <v>1573853</v>
      </c>
      <c r="D313" s="1">
        <v>30</v>
      </c>
      <c r="E313" s="5">
        <f t="shared" si="9"/>
        <v>-8.1988379599741701E-2</v>
      </c>
      <c r="F313" s="1">
        <f t="shared" si="8"/>
        <v>44760379.32</v>
      </c>
    </row>
    <row r="314" spans="1:6" x14ac:dyDescent="0.3">
      <c r="A314" s="2">
        <v>45786</v>
      </c>
      <c r="B314" s="1">
        <v>27.9</v>
      </c>
      <c r="C314">
        <v>695352</v>
      </c>
      <c r="D314" s="1">
        <v>29.01</v>
      </c>
      <c r="E314" s="5">
        <f t="shared" si="9"/>
        <v>-1.8987341772152E-2</v>
      </c>
      <c r="F314" s="1">
        <f t="shared" si="8"/>
        <v>19400320.800000001</v>
      </c>
    </row>
    <row r="315" spans="1:6" x14ac:dyDescent="0.3">
      <c r="A315" s="2">
        <v>45789</v>
      </c>
      <c r="B315" s="1">
        <v>27.76</v>
      </c>
      <c r="C315">
        <v>580289</v>
      </c>
      <c r="D315" s="1">
        <v>27.89</v>
      </c>
      <c r="E315" s="5">
        <f t="shared" si="9"/>
        <v>-5.0179211469533191E-3</v>
      </c>
      <c r="F315" s="1">
        <f t="shared" si="8"/>
        <v>16108822.640000001</v>
      </c>
    </row>
    <row r="316" spans="1:6" x14ac:dyDescent="0.3">
      <c r="A316" s="2">
        <v>45790</v>
      </c>
      <c r="B316" s="1">
        <v>28.69</v>
      </c>
      <c r="C316">
        <v>576248</v>
      </c>
      <c r="D316" s="1">
        <v>27.75</v>
      </c>
      <c r="E316" s="5">
        <f t="shared" si="9"/>
        <v>3.3501440922190096E-2</v>
      </c>
      <c r="F316" s="1">
        <f t="shared" si="8"/>
        <v>16532555.120000001</v>
      </c>
    </row>
    <row r="317" spans="1:6" x14ac:dyDescent="0.3">
      <c r="A317" s="2">
        <v>45791</v>
      </c>
      <c r="B317" s="1">
        <v>29.96</v>
      </c>
      <c r="C317">
        <v>561587</v>
      </c>
      <c r="D317" s="1">
        <v>28.96</v>
      </c>
      <c r="E317" s="5">
        <f t="shared" si="9"/>
        <v>4.4266294876263546E-2</v>
      </c>
      <c r="F317" s="1">
        <f t="shared" si="8"/>
        <v>16825146.52</v>
      </c>
    </row>
    <row r="318" spans="1:6" x14ac:dyDescent="0.3">
      <c r="A318" s="2">
        <v>45792</v>
      </c>
      <c r="B318" s="1">
        <v>30.2</v>
      </c>
      <c r="C318">
        <v>672849</v>
      </c>
      <c r="D318" s="1">
        <v>29.7</v>
      </c>
      <c r="E318" s="5">
        <f t="shared" si="9"/>
        <v>8.0106809078770436E-3</v>
      </c>
      <c r="F318" s="1">
        <f t="shared" si="8"/>
        <v>20320039.800000001</v>
      </c>
    </row>
    <row r="319" spans="1:6" x14ac:dyDescent="0.3">
      <c r="A319" s="2">
        <v>45793</v>
      </c>
      <c r="B319" s="1">
        <v>30.25</v>
      </c>
      <c r="C319">
        <v>504141</v>
      </c>
      <c r="D319" s="1">
        <v>30.33</v>
      </c>
      <c r="E319" s="5">
        <f t="shared" si="9"/>
        <v>1.6556291390728006E-3</v>
      </c>
      <c r="F319" s="1">
        <f t="shared" si="8"/>
        <v>15250265.25</v>
      </c>
    </row>
    <row r="320" spans="1:6" x14ac:dyDescent="0.3">
      <c r="A320" s="2">
        <v>45796</v>
      </c>
      <c r="B320" s="1">
        <v>30.9</v>
      </c>
      <c r="C320">
        <v>583006</v>
      </c>
      <c r="D320" s="1">
        <v>30.12</v>
      </c>
      <c r="E320" s="5">
        <f t="shared" si="9"/>
        <v>2.1487603305785141E-2</v>
      </c>
      <c r="F320" s="1">
        <f t="shared" si="8"/>
        <v>18014885.399999999</v>
      </c>
    </row>
    <row r="321" spans="1:6" x14ac:dyDescent="0.3">
      <c r="A321" s="2">
        <v>45797</v>
      </c>
      <c r="B321" s="1">
        <v>31.21</v>
      </c>
      <c r="C321">
        <v>678987</v>
      </c>
      <c r="D321" s="1">
        <v>31</v>
      </c>
      <c r="E321" s="5">
        <f t="shared" si="9"/>
        <v>1.0032362459547084E-2</v>
      </c>
      <c r="F321" s="1">
        <f t="shared" si="8"/>
        <v>21191184.27</v>
      </c>
    </row>
    <row r="322" spans="1:6" x14ac:dyDescent="0.3">
      <c r="A322" s="2">
        <v>45798</v>
      </c>
      <c r="B322" s="1">
        <v>30.35</v>
      </c>
      <c r="C322">
        <v>341152</v>
      </c>
      <c r="D322" s="1">
        <v>31.27</v>
      </c>
      <c r="E322" s="5">
        <f t="shared" si="9"/>
        <v>-2.7555270746555616E-2</v>
      </c>
      <c r="F322" s="1">
        <f t="shared" si="8"/>
        <v>10353963.200000001</v>
      </c>
    </row>
    <row r="323" spans="1:6" x14ac:dyDescent="0.3">
      <c r="A323" s="2">
        <v>45799</v>
      </c>
      <c r="B323" s="1">
        <v>29.79</v>
      </c>
      <c r="C323">
        <v>421073</v>
      </c>
      <c r="D323" s="1">
        <v>30.38</v>
      </c>
      <c r="E323" s="5">
        <f t="shared" si="9"/>
        <v>-1.8451400329489331E-2</v>
      </c>
      <c r="F323" s="1">
        <f t="shared" ref="F323:F386" si="10">C323*B323</f>
        <v>12543764.67</v>
      </c>
    </row>
    <row r="324" spans="1:6" x14ac:dyDescent="0.3">
      <c r="A324" s="2">
        <v>45800</v>
      </c>
      <c r="B324" s="1">
        <v>29.8</v>
      </c>
      <c r="C324">
        <v>278109</v>
      </c>
      <c r="D324" s="1">
        <v>29.57</v>
      </c>
      <c r="E324" s="5">
        <f t="shared" ref="E324:E387" si="11">(B324/B323)-1</f>
        <v>3.3568311513931803E-4</v>
      </c>
      <c r="F324" s="1">
        <f t="shared" si="10"/>
        <v>8287648.2000000002</v>
      </c>
    </row>
    <row r="325" spans="1:6" x14ac:dyDescent="0.3">
      <c r="A325" s="2">
        <v>45804</v>
      </c>
      <c r="B325" s="1">
        <v>29.85</v>
      </c>
      <c r="C325">
        <v>384850</v>
      </c>
      <c r="D325" s="1">
        <v>29.8</v>
      </c>
      <c r="E325" s="5">
        <f t="shared" si="11"/>
        <v>1.6778523489933139E-3</v>
      </c>
      <c r="F325" s="1">
        <f t="shared" si="10"/>
        <v>11487772.5</v>
      </c>
    </row>
    <row r="326" spans="1:6" x14ac:dyDescent="0.3">
      <c r="A326" s="2">
        <v>45805</v>
      </c>
      <c r="B326" s="1">
        <v>29.6</v>
      </c>
      <c r="C326">
        <v>295448</v>
      </c>
      <c r="D326" s="1">
        <v>29.71</v>
      </c>
      <c r="E326" s="5">
        <f t="shared" si="11"/>
        <v>-8.3752093802345051E-3</v>
      </c>
      <c r="F326" s="1">
        <f t="shared" si="10"/>
        <v>8745260.8000000007</v>
      </c>
    </row>
    <row r="327" spans="1:6" x14ac:dyDescent="0.3">
      <c r="A327" s="2">
        <v>45806</v>
      </c>
      <c r="B327" s="1">
        <v>29.3</v>
      </c>
      <c r="C327">
        <v>266321</v>
      </c>
      <c r="D327" s="1">
        <v>29.8</v>
      </c>
      <c r="E327" s="5">
        <f t="shared" si="11"/>
        <v>-1.0135135135135198E-2</v>
      </c>
      <c r="F327" s="1">
        <f t="shared" si="10"/>
        <v>7803205.2999999998</v>
      </c>
    </row>
    <row r="328" spans="1:6" x14ac:dyDescent="0.3">
      <c r="A328" s="2">
        <v>45807</v>
      </c>
      <c r="B328" s="1">
        <v>28.86</v>
      </c>
      <c r="C328">
        <v>749735</v>
      </c>
      <c r="D328" s="1">
        <v>29.25</v>
      </c>
      <c r="E328" s="5">
        <f t="shared" si="11"/>
        <v>-1.5017064846416406E-2</v>
      </c>
      <c r="F328" s="1">
        <f t="shared" si="10"/>
        <v>21637352.099999998</v>
      </c>
    </row>
    <row r="329" spans="1:6" x14ac:dyDescent="0.3">
      <c r="A329" s="2">
        <v>45810</v>
      </c>
      <c r="B329" s="1">
        <v>29.06</v>
      </c>
      <c r="C329">
        <v>375526</v>
      </c>
      <c r="D329" s="1">
        <v>30.12</v>
      </c>
      <c r="E329" s="5">
        <f t="shared" si="11"/>
        <v>6.9300069300068934E-3</v>
      </c>
      <c r="F329" s="1">
        <f t="shared" si="10"/>
        <v>10912785.559999999</v>
      </c>
    </row>
    <row r="330" spans="1:6" x14ac:dyDescent="0.3">
      <c r="A330" s="2">
        <v>45811</v>
      </c>
      <c r="B330" s="1">
        <v>28.75</v>
      </c>
      <c r="C330">
        <v>778533</v>
      </c>
      <c r="D330" s="1">
        <v>28.75</v>
      </c>
      <c r="E330" s="5">
        <f t="shared" si="11"/>
        <v>-1.0667584308327593E-2</v>
      </c>
      <c r="F330" s="1">
        <f t="shared" si="10"/>
        <v>22382823.75</v>
      </c>
    </row>
    <row r="331" spans="1:6" x14ac:dyDescent="0.3">
      <c r="A331" s="2">
        <v>45812</v>
      </c>
      <c r="B331" s="1">
        <v>27.3</v>
      </c>
      <c r="C331">
        <v>812384</v>
      </c>
      <c r="D331" s="1">
        <v>29.15</v>
      </c>
      <c r="E331" s="5">
        <f t="shared" si="11"/>
        <v>-5.0434782608695605E-2</v>
      </c>
      <c r="F331" s="1">
        <f t="shared" si="10"/>
        <v>22178083.199999999</v>
      </c>
    </row>
    <row r="332" spans="1:6" x14ac:dyDescent="0.3">
      <c r="A332" s="2">
        <v>45813</v>
      </c>
      <c r="B332" s="1">
        <v>27.4</v>
      </c>
      <c r="C332">
        <v>477116</v>
      </c>
      <c r="D332" s="1">
        <v>27.5</v>
      </c>
      <c r="E332" s="5">
        <f t="shared" si="11"/>
        <v>3.66300366300365E-3</v>
      </c>
      <c r="F332" s="1">
        <f t="shared" si="10"/>
        <v>13072978.399999999</v>
      </c>
    </row>
    <row r="333" spans="1:6" x14ac:dyDescent="0.3">
      <c r="A333" s="2">
        <v>45814</v>
      </c>
      <c r="B333" s="1">
        <v>27.28</v>
      </c>
      <c r="C333">
        <v>629236</v>
      </c>
      <c r="D333" s="1">
        <v>27.43</v>
      </c>
      <c r="E333" s="5">
        <f t="shared" si="11"/>
        <v>-4.3795620437955263E-3</v>
      </c>
      <c r="F333" s="1">
        <f t="shared" si="10"/>
        <v>17165558.080000002</v>
      </c>
    </row>
    <row r="334" spans="1:6" x14ac:dyDescent="0.3">
      <c r="A334" s="2">
        <v>45817</v>
      </c>
      <c r="B334" s="1">
        <v>26.44</v>
      </c>
      <c r="C334">
        <v>272313</v>
      </c>
      <c r="D334" s="1">
        <v>27.11</v>
      </c>
      <c r="E334" s="5">
        <f t="shared" si="11"/>
        <v>-3.0791788856304958E-2</v>
      </c>
      <c r="F334" s="1">
        <f t="shared" si="10"/>
        <v>7199955.7200000007</v>
      </c>
    </row>
    <row r="335" spans="1:6" x14ac:dyDescent="0.3">
      <c r="A335" s="2">
        <v>45818</v>
      </c>
      <c r="B335" s="1">
        <v>26.37</v>
      </c>
      <c r="C335">
        <v>479160</v>
      </c>
      <c r="D335" s="1">
        <v>26.52</v>
      </c>
      <c r="E335" s="5">
        <f t="shared" si="11"/>
        <v>-2.6475037821482861E-3</v>
      </c>
      <c r="F335" s="1">
        <f t="shared" si="10"/>
        <v>12635449.200000001</v>
      </c>
    </row>
    <row r="336" spans="1:6" x14ac:dyDescent="0.3">
      <c r="A336" s="2">
        <v>45819</v>
      </c>
      <c r="B336" s="1">
        <v>26.61</v>
      </c>
      <c r="C336">
        <v>734561</v>
      </c>
      <c r="D336" s="1">
        <v>26.28</v>
      </c>
      <c r="E336" s="5">
        <f t="shared" si="11"/>
        <v>9.1012514220705221E-3</v>
      </c>
      <c r="F336" s="1">
        <f t="shared" si="10"/>
        <v>19546668.210000001</v>
      </c>
    </row>
    <row r="337" spans="1:6" x14ac:dyDescent="0.3">
      <c r="A337" s="2">
        <v>45820</v>
      </c>
      <c r="B337" s="1">
        <v>26.8</v>
      </c>
      <c r="C337">
        <v>425569</v>
      </c>
      <c r="D337" s="1">
        <v>26.52</v>
      </c>
      <c r="E337" s="5">
        <f t="shared" si="11"/>
        <v>7.140172867343253E-3</v>
      </c>
      <c r="F337" s="1">
        <f t="shared" si="10"/>
        <v>11405249.200000001</v>
      </c>
    </row>
    <row r="338" spans="1:6" x14ac:dyDescent="0.3">
      <c r="A338" s="2">
        <v>45821</v>
      </c>
      <c r="B338" s="1">
        <v>26.17</v>
      </c>
      <c r="C338">
        <v>385180</v>
      </c>
      <c r="D338" s="1">
        <v>26.83</v>
      </c>
      <c r="E338" s="5">
        <f t="shared" si="11"/>
        <v>-2.3507462686567115E-2</v>
      </c>
      <c r="F338" s="1">
        <f t="shared" si="10"/>
        <v>10080160.600000001</v>
      </c>
    </row>
    <row r="339" spans="1:6" x14ac:dyDescent="0.3">
      <c r="A339" s="2">
        <v>45824</v>
      </c>
      <c r="B339" s="1">
        <v>26.48</v>
      </c>
      <c r="C339">
        <v>330921</v>
      </c>
      <c r="D339" s="1">
        <v>26.21</v>
      </c>
      <c r="E339" s="5">
        <f t="shared" si="11"/>
        <v>1.1845624761176898E-2</v>
      </c>
      <c r="F339" s="1">
        <f t="shared" si="10"/>
        <v>8762788.0800000001</v>
      </c>
    </row>
    <row r="340" spans="1:6" x14ac:dyDescent="0.3">
      <c r="A340" s="2">
        <v>45825</v>
      </c>
      <c r="B340" s="1">
        <v>26.19</v>
      </c>
      <c r="C340">
        <v>314470</v>
      </c>
      <c r="D340" s="1">
        <v>26.43</v>
      </c>
      <c r="E340" s="5">
        <f t="shared" si="11"/>
        <v>-1.0951661631419918E-2</v>
      </c>
      <c r="F340" s="1">
        <f t="shared" si="10"/>
        <v>8235969.3000000007</v>
      </c>
    </row>
    <row r="341" spans="1:6" x14ac:dyDescent="0.3">
      <c r="A341" s="2">
        <v>45826</v>
      </c>
      <c r="B341" s="1">
        <v>25.56</v>
      </c>
      <c r="C341">
        <v>328167</v>
      </c>
      <c r="D341" s="1">
        <v>26.36</v>
      </c>
      <c r="E341" s="5">
        <f t="shared" si="11"/>
        <v>-2.4054982817869552E-2</v>
      </c>
      <c r="F341" s="1">
        <f t="shared" si="10"/>
        <v>8387948.5199999996</v>
      </c>
    </row>
    <row r="342" spans="1:6" x14ac:dyDescent="0.3">
      <c r="A342" s="2">
        <v>45828</v>
      </c>
      <c r="B342" s="1">
        <v>26.35</v>
      </c>
      <c r="C342">
        <v>540147</v>
      </c>
      <c r="D342" s="1">
        <v>25.86</v>
      </c>
      <c r="E342" s="5">
        <f t="shared" si="11"/>
        <v>3.0907668231612062E-2</v>
      </c>
      <c r="F342" s="1">
        <f t="shared" si="10"/>
        <v>14232873.450000001</v>
      </c>
    </row>
    <row r="343" spans="1:6" x14ac:dyDescent="0.3">
      <c r="A343" s="2">
        <v>45831</v>
      </c>
      <c r="B343" s="1">
        <v>27</v>
      </c>
      <c r="C343">
        <v>307089</v>
      </c>
      <c r="D343" s="1">
        <v>26.49</v>
      </c>
      <c r="E343" s="5">
        <f t="shared" si="11"/>
        <v>2.4667931688804545E-2</v>
      </c>
      <c r="F343" s="1">
        <f t="shared" si="10"/>
        <v>8291403</v>
      </c>
    </row>
    <row r="344" spans="1:6" x14ac:dyDescent="0.3">
      <c r="A344" s="2">
        <v>45832</v>
      </c>
      <c r="B344" s="1">
        <v>26.67</v>
      </c>
      <c r="C344">
        <v>635375</v>
      </c>
      <c r="D344" s="1">
        <v>27.13</v>
      </c>
      <c r="E344" s="5">
        <f t="shared" si="11"/>
        <v>-1.2222222222222134E-2</v>
      </c>
      <c r="F344" s="1">
        <f t="shared" si="10"/>
        <v>16945451.25</v>
      </c>
    </row>
    <row r="345" spans="1:6" x14ac:dyDescent="0.3">
      <c r="A345" s="2">
        <v>45833</v>
      </c>
      <c r="B345" s="1">
        <v>27.2</v>
      </c>
      <c r="C345">
        <v>824713</v>
      </c>
      <c r="D345" s="1">
        <v>26.91</v>
      </c>
      <c r="E345" s="5">
        <f t="shared" si="11"/>
        <v>1.9872515935507984E-2</v>
      </c>
      <c r="F345" s="1">
        <f t="shared" si="10"/>
        <v>22432193.599999998</v>
      </c>
    </row>
    <row r="346" spans="1:6" x14ac:dyDescent="0.3">
      <c r="A346" s="2">
        <v>45834</v>
      </c>
      <c r="B346" s="1">
        <v>27.43</v>
      </c>
      <c r="C346">
        <v>563457</v>
      </c>
      <c r="D346" s="1">
        <v>27.24</v>
      </c>
      <c r="E346" s="5">
        <f t="shared" si="11"/>
        <v>8.4558823529412575E-3</v>
      </c>
      <c r="F346" s="1">
        <f t="shared" si="10"/>
        <v>15455625.51</v>
      </c>
    </row>
    <row r="347" spans="1:6" x14ac:dyDescent="0.3">
      <c r="A347" s="2">
        <v>45835</v>
      </c>
      <c r="B347" s="1">
        <v>27.46</v>
      </c>
      <c r="C347">
        <v>555579</v>
      </c>
      <c r="D347" s="1">
        <v>27.42</v>
      </c>
      <c r="E347" s="5">
        <f t="shared" si="11"/>
        <v>1.0936930368210529E-3</v>
      </c>
      <c r="F347" s="1">
        <f t="shared" si="10"/>
        <v>15256199.34</v>
      </c>
    </row>
    <row r="348" spans="1:6" x14ac:dyDescent="0.3">
      <c r="A348" s="2">
        <v>45838</v>
      </c>
      <c r="B348" s="1">
        <v>27.76</v>
      </c>
      <c r="C348">
        <v>1126468</v>
      </c>
      <c r="D348" s="1">
        <v>27.45</v>
      </c>
      <c r="E348" s="5">
        <f t="shared" si="11"/>
        <v>1.0924981791696986E-2</v>
      </c>
      <c r="F348" s="1">
        <f t="shared" si="10"/>
        <v>31270751.680000003</v>
      </c>
    </row>
    <row r="349" spans="1:6" x14ac:dyDescent="0.3">
      <c r="A349" s="2">
        <v>45839</v>
      </c>
      <c r="B349" s="1">
        <v>27.61</v>
      </c>
      <c r="C349">
        <v>773962</v>
      </c>
      <c r="D349" s="1">
        <v>27.85</v>
      </c>
      <c r="E349" s="5">
        <f t="shared" si="11"/>
        <v>-5.4034582132566067E-3</v>
      </c>
      <c r="F349" s="1">
        <f t="shared" si="10"/>
        <v>21369090.82</v>
      </c>
    </row>
    <row r="350" spans="1:6" x14ac:dyDescent="0.3">
      <c r="A350" s="2">
        <v>45840</v>
      </c>
      <c r="B350" s="1">
        <v>27.79</v>
      </c>
      <c r="C350">
        <v>1074158</v>
      </c>
      <c r="D350" s="1">
        <v>27.54</v>
      </c>
      <c r="E350" s="5">
        <f t="shared" si="11"/>
        <v>6.5193770373053184E-3</v>
      </c>
      <c r="F350" s="1">
        <f t="shared" si="10"/>
        <v>29850850.82</v>
      </c>
    </row>
    <row r="351" spans="1:6" x14ac:dyDescent="0.3">
      <c r="A351" s="2">
        <v>45841</v>
      </c>
      <c r="B351" s="1">
        <v>27.73</v>
      </c>
      <c r="C351">
        <v>274240</v>
      </c>
      <c r="D351" s="1">
        <v>27.98</v>
      </c>
      <c r="E351" s="5">
        <f t="shared" si="11"/>
        <v>-2.1590500179919925E-3</v>
      </c>
      <c r="F351" s="1">
        <f t="shared" si="10"/>
        <v>7604675.2000000002</v>
      </c>
    </row>
    <row r="352" spans="1:6" x14ac:dyDescent="0.3">
      <c r="A352" s="2">
        <v>45845</v>
      </c>
      <c r="B352" s="1">
        <v>26.39</v>
      </c>
      <c r="C352">
        <v>334342</v>
      </c>
      <c r="D352" s="1">
        <v>27.55</v>
      </c>
      <c r="E352" s="5">
        <f t="shared" si="11"/>
        <v>-4.8323115759105639E-2</v>
      </c>
      <c r="F352" s="1">
        <f t="shared" si="10"/>
        <v>8823285.3800000008</v>
      </c>
    </row>
    <row r="353" spans="1:6" x14ac:dyDescent="0.3">
      <c r="A353" s="2">
        <v>45846</v>
      </c>
      <c r="B353" s="1">
        <v>25.76</v>
      </c>
      <c r="C353">
        <v>544387</v>
      </c>
      <c r="D353" s="1">
        <v>26.38</v>
      </c>
      <c r="E353" s="5">
        <f t="shared" si="11"/>
        <v>-2.3872679045092826E-2</v>
      </c>
      <c r="F353" s="1">
        <f t="shared" si="10"/>
        <v>14023409.120000001</v>
      </c>
    </row>
    <row r="354" spans="1:6" x14ac:dyDescent="0.3">
      <c r="A354" s="2">
        <v>45847</v>
      </c>
      <c r="B354" s="1">
        <v>25.19</v>
      </c>
      <c r="C354">
        <v>705384</v>
      </c>
      <c r="D354" s="1">
        <v>25.6</v>
      </c>
      <c r="E354" s="5">
        <f t="shared" si="11"/>
        <v>-2.2127329192546563E-2</v>
      </c>
      <c r="F354" s="1">
        <f t="shared" si="10"/>
        <v>17768622.960000001</v>
      </c>
    </row>
    <row r="355" spans="1:6" x14ac:dyDescent="0.3">
      <c r="A355" s="2">
        <v>45848</v>
      </c>
      <c r="B355" s="1">
        <v>25.53</v>
      </c>
      <c r="C355">
        <v>357526</v>
      </c>
      <c r="D355" s="1">
        <v>25.28</v>
      </c>
      <c r="E355" s="5">
        <f t="shared" si="11"/>
        <v>1.349741961095674E-2</v>
      </c>
      <c r="F355" s="1">
        <f t="shared" si="10"/>
        <v>9127638.7800000012</v>
      </c>
    </row>
    <row r="356" spans="1:6" x14ac:dyDescent="0.3">
      <c r="A356" s="2">
        <v>45849</v>
      </c>
      <c r="B356" s="1">
        <v>24.57</v>
      </c>
      <c r="C356">
        <v>731060</v>
      </c>
      <c r="D356" s="1">
        <v>25.5</v>
      </c>
      <c r="E356" s="5">
        <f t="shared" si="11"/>
        <v>-3.7602820211515842E-2</v>
      </c>
      <c r="F356" s="1">
        <f t="shared" si="10"/>
        <v>17962144.199999999</v>
      </c>
    </row>
    <row r="357" spans="1:6" x14ac:dyDescent="0.3">
      <c r="A357" s="2">
        <v>45852</v>
      </c>
      <c r="B357" s="1">
        <v>24.45</v>
      </c>
      <c r="C357">
        <v>605520</v>
      </c>
      <c r="D357" s="1">
        <v>24.6</v>
      </c>
      <c r="E357" s="5">
        <f t="shared" si="11"/>
        <v>-4.8840048840049777E-3</v>
      </c>
      <c r="F357" s="1">
        <f t="shared" si="10"/>
        <v>14804964</v>
      </c>
    </row>
    <row r="358" spans="1:6" x14ac:dyDescent="0.3">
      <c r="A358" s="2">
        <v>45853</v>
      </c>
      <c r="B358" s="1">
        <v>26.6</v>
      </c>
      <c r="C358">
        <v>1674421</v>
      </c>
      <c r="D358" s="1">
        <v>24.42</v>
      </c>
      <c r="E358" s="5">
        <f t="shared" si="11"/>
        <v>8.7934560327198374E-2</v>
      </c>
      <c r="F358" s="1">
        <f t="shared" si="10"/>
        <v>44539598.600000001</v>
      </c>
    </row>
    <row r="359" spans="1:6" x14ac:dyDescent="0.3">
      <c r="A359" s="2">
        <v>45854</v>
      </c>
      <c r="B359" s="1">
        <v>26.43</v>
      </c>
      <c r="C359">
        <v>976894</v>
      </c>
      <c r="D359" s="1">
        <v>26.79</v>
      </c>
      <c r="E359" s="5">
        <f t="shared" si="11"/>
        <v>-6.3909774436090583E-3</v>
      </c>
      <c r="F359" s="1">
        <f t="shared" si="10"/>
        <v>25819308.419999998</v>
      </c>
    </row>
    <row r="360" spans="1:6" x14ac:dyDescent="0.3">
      <c r="A360" s="2">
        <v>45855</v>
      </c>
      <c r="B360" s="1">
        <v>26.3</v>
      </c>
      <c r="C360">
        <v>658849</v>
      </c>
      <c r="D360" s="1">
        <v>26.44</v>
      </c>
      <c r="E360" s="5">
        <f t="shared" si="11"/>
        <v>-4.9186530457813182E-3</v>
      </c>
      <c r="F360" s="1">
        <f t="shared" si="10"/>
        <v>17327728.699999999</v>
      </c>
    </row>
    <row r="361" spans="1:6" x14ac:dyDescent="0.3">
      <c r="A361" s="2">
        <v>45856</v>
      </c>
      <c r="B361" s="1">
        <v>26.02</v>
      </c>
      <c r="C361">
        <v>1212273</v>
      </c>
      <c r="D361" s="1">
        <v>26.32</v>
      </c>
      <c r="E361" s="5">
        <f t="shared" si="11"/>
        <v>-1.0646387832699666E-2</v>
      </c>
      <c r="F361" s="1">
        <f t="shared" si="10"/>
        <v>31543343.460000001</v>
      </c>
    </row>
    <row r="362" spans="1:6" x14ac:dyDescent="0.3">
      <c r="A362" s="2">
        <v>45859</v>
      </c>
      <c r="B362" s="1">
        <v>26.18</v>
      </c>
      <c r="C362">
        <v>521362</v>
      </c>
      <c r="D362" s="1">
        <v>26.14</v>
      </c>
      <c r="E362" s="5">
        <f t="shared" si="11"/>
        <v>6.1491160645656961E-3</v>
      </c>
      <c r="F362" s="1">
        <f t="shared" si="10"/>
        <v>13649257.16</v>
      </c>
    </row>
    <row r="363" spans="1:6" x14ac:dyDescent="0.3">
      <c r="A363" s="2">
        <v>45860</v>
      </c>
      <c r="B363" s="1">
        <v>25.75</v>
      </c>
      <c r="C363">
        <v>683267</v>
      </c>
      <c r="D363" s="1">
        <v>26.25</v>
      </c>
      <c r="E363" s="5">
        <f t="shared" si="11"/>
        <v>-1.6424751718869368E-2</v>
      </c>
      <c r="F363" s="1">
        <f t="shared" si="10"/>
        <v>17594125.25</v>
      </c>
    </row>
    <row r="364" spans="1:6" x14ac:dyDescent="0.3">
      <c r="A364" s="2">
        <v>45861</v>
      </c>
      <c r="B364" s="1">
        <v>25.75</v>
      </c>
      <c r="C364">
        <v>861957</v>
      </c>
      <c r="D364" s="1">
        <v>25.72</v>
      </c>
      <c r="E364" s="5">
        <f t="shared" si="11"/>
        <v>0</v>
      </c>
      <c r="F364" s="1">
        <f t="shared" si="10"/>
        <v>22195392.75</v>
      </c>
    </row>
    <row r="365" spans="1:6" x14ac:dyDescent="0.3">
      <c r="A365" s="2">
        <v>45862</v>
      </c>
      <c r="B365" s="1">
        <v>25.66</v>
      </c>
      <c r="C365">
        <v>608850</v>
      </c>
      <c r="D365" s="1">
        <v>25.8</v>
      </c>
      <c r="E365" s="5">
        <f t="shared" si="11"/>
        <v>-3.4951456310680085E-3</v>
      </c>
      <c r="F365" s="1">
        <f t="shared" si="10"/>
        <v>15623091</v>
      </c>
    </row>
    <row r="366" spans="1:6" x14ac:dyDescent="0.3">
      <c r="A366" s="2">
        <v>45863</v>
      </c>
      <c r="B366" s="1">
        <v>25.61</v>
      </c>
      <c r="C366">
        <v>215429</v>
      </c>
      <c r="D366" s="1">
        <v>25.59</v>
      </c>
      <c r="E366" s="5">
        <f t="shared" si="11"/>
        <v>-1.9485580670304259E-3</v>
      </c>
      <c r="F366" s="1">
        <f t="shared" si="10"/>
        <v>5517136.6899999995</v>
      </c>
    </row>
    <row r="367" spans="1:6" x14ac:dyDescent="0.3">
      <c r="A367" s="2">
        <v>45866</v>
      </c>
      <c r="B367" s="1">
        <v>24.83</v>
      </c>
      <c r="C367">
        <v>767916</v>
      </c>
      <c r="D367" s="1">
        <v>25.55</v>
      </c>
      <c r="E367" s="5">
        <f t="shared" si="11"/>
        <v>-3.0456852791878264E-2</v>
      </c>
      <c r="F367" s="1">
        <f t="shared" si="10"/>
        <v>19067354.279999997</v>
      </c>
    </row>
    <row r="368" spans="1:6" x14ac:dyDescent="0.3">
      <c r="A368" s="2">
        <v>45867</v>
      </c>
      <c r="B368" s="1">
        <v>25.76</v>
      </c>
      <c r="C368">
        <v>751503</v>
      </c>
      <c r="D368" s="1">
        <v>24.98</v>
      </c>
      <c r="E368" s="5">
        <f t="shared" si="11"/>
        <v>3.7454691904953874E-2</v>
      </c>
      <c r="F368" s="1">
        <f t="shared" si="10"/>
        <v>19358717.280000001</v>
      </c>
    </row>
    <row r="369" spans="1:6" x14ac:dyDescent="0.3">
      <c r="A369" s="2">
        <v>45868</v>
      </c>
      <c r="B369" s="1">
        <v>25.56</v>
      </c>
      <c r="C369">
        <v>478634</v>
      </c>
      <c r="D369" s="1">
        <v>25.91</v>
      </c>
      <c r="E369" s="5">
        <f t="shared" si="11"/>
        <v>-7.763975155279601E-3</v>
      </c>
      <c r="F369" s="1">
        <f t="shared" si="10"/>
        <v>12233885.039999999</v>
      </c>
    </row>
    <row r="370" spans="1:6" x14ac:dyDescent="0.3">
      <c r="A370" s="2">
        <v>45869</v>
      </c>
      <c r="B370" s="1">
        <v>25.52</v>
      </c>
      <c r="C370">
        <v>541223</v>
      </c>
      <c r="D370" s="1">
        <v>25.5</v>
      </c>
      <c r="E370" s="5">
        <f t="shared" si="11"/>
        <v>-1.5649452269169695E-3</v>
      </c>
      <c r="F370" s="1">
        <f t="shared" si="10"/>
        <v>13812010.959999999</v>
      </c>
    </row>
    <row r="371" spans="1:6" x14ac:dyDescent="0.3">
      <c r="A371" s="2">
        <v>45870</v>
      </c>
      <c r="B371" s="1">
        <v>25.5</v>
      </c>
      <c r="C371">
        <v>481573</v>
      </c>
      <c r="D371" s="1">
        <v>25.54</v>
      </c>
      <c r="E371" s="5">
        <f t="shared" si="11"/>
        <v>-7.8369905956110486E-4</v>
      </c>
      <c r="F371" s="1">
        <f t="shared" si="10"/>
        <v>12280111.5</v>
      </c>
    </row>
    <row r="372" spans="1:6" x14ac:dyDescent="0.3">
      <c r="A372" s="2">
        <v>45873</v>
      </c>
      <c r="B372" s="1">
        <v>25.49</v>
      </c>
      <c r="C372">
        <v>761707</v>
      </c>
      <c r="D372" s="1">
        <v>25.6</v>
      </c>
      <c r="E372" s="5">
        <f t="shared" si="11"/>
        <v>-3.9215686274518546E-4</v>
      </c>
      <c r="F372" s="1">
        <f t="shared" si="10"/>
        <v>19415911.43</v>
      </c>
    </row>
    <row r="373" spans="1:6" x14ac:dyDescent="0.3">
      <c r="A373" s="2">
        <v>45874</v>
      </c>
      <c r="B373" s="1">
        <v>24.71</v>
      </c>
      <c r="C373">
        <v>503228</v>
      </c>
      <c r="D373" s="1">
        <v>25.52</v>
      </c>
      <c r="E373" s="5">
        <f t="shared" si="11"/>
        <v>-3.0600235386425978E-2</v>
      </c>
      <c r="F373" s="1">
        <f t="shared" si="10"/>
        <v>12434763.880000001</v>
      </c>
    </row>
    <row r="374" spans="1:6" x14ac:dyDescent="0.3">
      <c r="A374" s="2">
        <v>45875</v>
      </c>
      <c r="B374" s="1">
        <v>24.34</v>
      </c>
      <c r="C374">
        <v>713664</v>
      </c>
      <c r="D374" s="1">
        <v>24.5</v>
      </c>
      <c r="E374" s="5">
        <f t="shared" si="11"/>
        <v>-1.4973694860380471E-2</v>
      </c>
      <c r="F374" s="1">
        <f t="shared" si="10"/>
        <v>17370581.760000002</v>
      </c>
    </row>
    <row r="375" spans="1:6" x14ac:dyDescent="0.3">
      <c r="A375" s="2">
        <v>45876</v>
      </c>
      <c r="B375" s="1">
        <v>25.44</v>
      </c>
      <c r="C375">
        <v>325092</v>
      </c>
      <c r="D375" s="1">
        <v>24.43</v>
      </c>
      <c r="E375" s="5">
        <f t="shared" si="11"/>
        <v>4.5193097781429881E-2</v>
      </c>
      <c r="F375" s="1">
        <f t="shared" si="10"/>
        <v>8270340.4800000004</v>
      </c>
    </row>
    <row r="376" spans="1:6" x14ac:dyDescent="0.3">
      <c r="A376" s="2">
        <v>45877</v>
      </c>
      <c r="B376" s="1">
        <v>25.81</v>
      </c>
      <c r="C376">
        <v>327653</v>
      </c>
      <c r="D376" s="1">
        <v>25.4</v>
      </c>
      <c r="E376" s="5">
        <f t="shared" si="11"/>
        <v>1.4544025157232632E-2</v>
      </c>
      <c r="F376" s="1">
        <f t="shared" si="10"/>
        <v>8456723.9299999997</v>
      </c>
    </row>
    <row r="377" spans="1:6" x14ac:dyDescent="0.3">
      <c r="A377" s="2">
        <v>45880</v>
      </c>
      <c r="B377" s="1">
        <v>26.33</v>
      </c>
      <c r="C377">
        <v>651220</v>
      </c>
      <c r="D377" s="1">
        <v>25.7</v>
      </c>
      <c r="E377" s="5">
        <f t="shared" si="11"/>
        <v>2.0147229755908658E-2</v>
      </c>
      <c r="F377" s="1">
        <f t="shared" si="10"/>
        <v>17146622.599999998</v>
      </c>
    </row>
    <row r="378" spans="1:6" x14ac:dyDescent="0.3">
      <c r="A378" s="2">
        <v>45881</v>
      </c>
      <c r="B378" s="1">
        <v>28.02</v>
      </c>
      <c r="C378">
        <v>1311441</v>
      </c>
      <c r="D378" s="1">
        <v>26.07</v>
      </c>
      <c r="E378" s="5">
        <f t="shared" si="11"/>
        <v>6.418533991644515E-2</v>
      </c>
      <c r="F378" s="1">
        <f t="shared" si="10"/>
        <v>36746576.82</v>
      </c>
    </row>
    <row r="379" spans="1:6" x14ac:dyDescent="0.3">
      <c r="A379" s="2">
        <v>45882</v>
      </c>
      <c r="B379" s="1">
        <v>26.6</v>
      </c>
      <c r="C379">
        <v>1004594</v>
      </c>
      <c r="D379" s="1">
        <v>27.9</v>
      </c>
      <c r="E379" s="5">
        <f t="shared" si="11"/>
        <v>-5.0678087080656575E-2</v>
      </c>
      <c r="F379" s="1">
        <f t="shared" si="10"/>
        <v>26722200.400000002</v>
      </c>
    </row>
    <row r="380" spans="1:6" x14ac:dyDescent="0.3">
      <c r="A380" s="2">
        <v>45883</v>
      </c>
      <c r="B380" s="1">
        <v>26.18</v>
      </c>
      <c r="C380">
        <v>519356</v>
      </c>
      <c r="D380" s="1">
        <v>26.5</v>
      </c>
      <c r="E380" s="5">
        <f t="shared" si="11"/>
        <v>-1.5789473684210575E-2</v>
      </c>
      <c r="F380" s="1">
        <f t="shared" si="10"/>
        <v>13596740.08</v>
      </c>
    </row>
    <row r="381" spans="1:6" x14ac:dyDescent="0.3">
      <c r="A381" s="2">
        <v>45884</v>
      </c>
      <c r="B381" s="1">
        <v>26.08</v>
      </c>
      <c r="C381">
        <v>614439</v>
      </c>
      <c r="D381" s="1">
        <v>26.19</v>
      </c>
      <c r="E381" s="5">
        <f t="shared" si="11"/>
        <v>-3.8197097020626902E-3</v>
      </c>
      <c r="F381" s="1">
        <f t="shared" si="10"/>
        <v>16024569.119999999</v>
      </c>
    </row>
    <row r="382" spans="1:6" x14ac:dyDescent="0.3">
      <c r="A382" s="2">
        <v>45887</v>
      </c>
      <c r="B382" s="1">
        <v>25.45</v>
      </c>
      <c r="C382">
        <v>436397</v>
      </c>
      <c r="D382" s="1">
        <v>26.26</v>
      </c>
      <c r="E382" s="5">
        <f t="shared" si="11"/>
        <v>-2.415644171779141E-2</v>
      </c>
      <c r="F382" s="1">
        <f t="shared" si="10"/>
        <v>11106303.65</v>
      </c>
    </row>
    <row r="383" spans="1:6" x14ac:dyDescent="0.3">
      <c r="A383" s="2">
        <v>45888</v>
      </c>
      <c r="B383" s="1">
        <v>25.63</v>
      </c>
      <c r="C383">
        <v>465129</v>
      </c>
      <c r="D383" s="1">
        <v>25.48</v>
      </c>
      <c r="E383" s="5">
        <f t="shared" si="11"/>
        <v>7.0726915520629152E-3</v>
      </c>
      <c r="F383" s="1">
        <f t="shared" si="10"/>
        <v>11921256.27</v>
      </c>
    </row>
    <row r="384" spans="1:6" x14ac:dyDescent="0.3">
      <c r="A384" s="2">
        <v>45889</v>
      </c>
      <c r="B384" s="1">
        <v>25.87</v>
      </c>
      <c r="C384">
        <v>293118</v>
      </c>
      <c r="D384" s="1">
        <v>25.49</v>
      </c>
      <c r="E384" s="5">
        <f t="shared" si="11"/>
        <v>9.3640265314085536E-3</v>
      </c>
      <c r="F384" s="1">
        <f t="shared" si="10"/>
        <v>7582962.6600000001</v>
      </c>
    </row>
    <row r="385" spans="1:6" x14ac:dyDescent="0.3">
      <c r="A385" s="2">
        <v>45890</v>
      </c>
      <c r="B385" s="1">
        <v>25.56</v>
      </c>
      <c r="C385">
        <v>378628</v>
      </c>
      <c r="D385" s="1">
        <v>25.61</v>
      </c>
      <c r="E385" s="5">
        <f t="shared" si="11"/>
        <v>-1.1982991882489413E-2</v>
      </c>
      <c r="F385" s="1">
        <f t="shared" si="10"/>
        <v>9677731.6799999997</v>
      </c>
    </row>
    <row r="386" spans="1:6" x14ac:dyDescent="0.3">
      <c r="A386" s="2">
        <v>45891</v>
      </c>
      <c r="B386" s="1">
        <v>25.85</v>
      </c>
      <c r="C386">
        <v>481784</v>
      </c>
      <c r="D386" s="1">
        <v>25.56</v>
      </c>
      <c r="E386" s="5">
        <f t="shared" si="11"/>
        <v>1.1345852895148667E-2</v>
      </c>
      <c r="F386" s="1">
        <f t="shared" si="10"/>
        <v>12454116.4</v>
      </c>
    </row>
    <row r="387" spans="1:6" x14ac:dyDescent="0.3">
      <c r="A387" s="2">
        <v>45894</v>
      </c>
      <c r="B387" s="1">
        <v>26.02</v>
      </c>
      <c r="C387">
        <v>590541</v>
      </c>
      <c r="D387" s="1">
        <v>25.86</v>
      </c>
      <c r="E387" s="5">
        <f t="shared" si="11"/>
        <v>6.5764023210830302E-3</v>
      </c>
      <c r="F387" s="1">
        <f t="shared" ref="F387" si="12">C387*B387</f>
        <v>15365876.82</v>
      </c>
    </row>
  </sheetData>
  <sortState xmlns:xlrd2="http://schemas.microsoft.com/office/spreadsheetml/2017/richdata2" ref="A2:F387">
    <sortCondition ref="A1:A387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8BBC5-40E7-4D9D-AEBA-24F5153EFD6B}">
  <dimension ref="A1:F11"/>
  <sheetViews>
    <sheetView tabSelected="1" workbookViewId="0">
      <selection activeCell="J9" sqref="J9"/>
    </sheetView>
  </sheetViews>
  <sheetFormatPr baseColWidth="10" defaultRowHeight="14.4" x14ac:dyDescent="0.3"/>
  <cols>
    <col min="1" max="1" width="16.6640625" bestFit="1" customWidth="1"/>
    <col min="2" max="2" width="17.77734375" bestFit="1" customWidth="1"/>
    <col min="3" max="3" width="15.109375" bestFit="1" customWidth="1"/>
    <col min="4" max="4" width="13.109375" bestFit="1" customWidth="1"/>
    <col min="5" max="5" width="23.6640625" bestFit="1" customWidth="1"/>
    <col min="6" max="6" width="16.5546875" bestFit="1" customWidth="1"/>
  </cols>
  <sheetData>
    <row r="1" spans="1:6" x14ac:dyDescent="0.3">
      <c r="A1" s="3" t="s">
        <v>4</v>
      </c>
      <c r="B1" t="s">
        <v>8</v>
      </c>
      <c r="C1" t="s">
        <v>11</v>
      </c>
      <c r="D1" t="s">
        <v>12</v>
      </c>
      <c r="E1" t="s">
        <v>14</v>
      </c>
      <c r="F1" t="s">
        <v>13</v>
      </c>
    </row>
    <row r="2" spans="1:6" x14ac:dyDescent="0.3">
      <c r="A2" s="4" t="s">
        <v>6</v>
      </c>
      <c r="B2" s="1">
        <v>5991.71</v>
      </c>
      <c r="C2">
        <v>192007226</v>
      </c>
      <c r="D2" s="1">
        <v>5985.4300000000012</v>
      </c>
      <c r="E2" s="1">
        <v>4935307516.29</v>
      </c>
      <c r="F2">
        <v>0.49723497570705033</v>
      </c>
    </row>
    <row r="3" spans="1:6" x14ac:dyDescent="0.3">
      <c r="A3" s="6" t="s">
        <v>15</v>
      </c>
      <c r="B3" s="1">
        <v>729.51999999999987</v>
      </c>
      <c r="C3">
        <v>40243788</v>
      </c>
      <c r="D3" s="1">
        <v>726.36999999999978</v>
      </c>
      <c r="E3" s="1">
        <v>830315648.91000009</v>
      </c>
      <c r="F3">
        <v>0.23230676385580307</v>
      </c>
    </row>
    <row r="4" spans="1:6" x14ac:dyDescent="0.3">
      <c r="A4" s="6" t="s">
        <v>16</v>
      </c>
      <c r="B4" s="1">
        <v>1474.4399999999998</v>
      </c>
      <c r="C4">
        <v>65784883</v>
      </c>
      <c r="D4" s="1">
        <v>1474.65</v>
      </c>
      <c r="E4" s="1">
        <v>1552592511.45</v>
      </c>
      <c r="F4">
        <v>4.5421088168658752E-2</v>
      </c>
    </row>
    <row r="5" spans="1:6" x14ac:dyDescent="0.3">
      <c r="A5" s="6" t="s">
        <v>17</v>
      </c>
      <c r="B5" s="1">
        <v>1793.5799999999997</v>
      </c>
      <c r="C5">
        <v>39547788</v>
      </c>
      <c r="D5" s="1">
        <v>1788.9450000000002</v>
      </c>
      <c r="E5" s="1">
        <v>1113021616.3</v>
      </c>
      <c r="F5">
        <v>0.25506553611750005</v>
      </c>
    </row>
    <row r="6" spans="1:6" x14ac:dyDescent="0.3">
      <c r="A6" s="6" t="s">
        <v>18</v>
      </c>
      <c r="B6" s="1">
        <v>1994.1700000000008</v>
      </c>
      <c r="C6">
        <v>46430767</v>
      </c>
      <c r="D6" s="1">
        <v>1995.4650000000008</v>
      </c>
      <c r="E6" s="1">
        <v>1439377739.6300001</v>
      </c>
      <c r="F6">
        <v>-3.5558412434911535E-2</v>
      </c>
    </row>
    <row r="7" spans="1:6" x14ac:dyDescent="0.3">
      <c r="A7" s="4" t="s">
        <v>7</v>
      </c>
      <c r="B7" s="1">
        <v>4426.6699999999992</v>
      </c>
      <c r="C7">
        <v>124562371</v>
      </c>
      <c r="D7" s="1">
        <v>4427.42</v>
      </c>
      <c r="E7" s="1">
        <v>3415295396.5999999</v>
      </c>
      <c r="F7">
        <v>-3.0018454166121145E-2</v>
      </c>
    </row>
    <row r="8" spans="1:6" x14ac:dyDescent="0.3">
      <c r="A8" s="6" t="s">
        <v>15</v>
      </c>
      <c r="B8" s="1">
        <v>1671.9699999999998</v>
      </c>
      <c r="C8">
        <v>61193406</v>
      </c>
      <c r="D8" s="1">
        <v>1672.7300000000002</v>
      </c>
      <c r="E8" s="1">
        <v>1691331873.8099997</v>
      </c>
      <c r="F8">
        <v>-4.0864610658375322E-2</v>
      </c>
    </row>
    <row r="9" spans="1:6" x14ac:dyDescent="0.3">
      <c r="A9" s="6" t="s">
        <v>16</v>
      </c>
      <c r="B9" s="1">
        <v>1744.8299999999997</v>
      </c>
      <c r="C9">
        <v>38156244</v>
      </c>
      <c r="D9" s="1">
        <v>1743.39</v>
      </c>
      <c r="E9" s="1">
        <v>1067774502.4400001</v>
      </c>
      <c r="F9">
        <v>6.2021520109525219E-2</v>
      </c>
    </row>
    <row r="10" spans="1:6" x14ac:dyDescent="0.3">
      <c r="A10" s="6" t="s">
        <v>17</v>
      </c>
      <c r="B10" s="1">
        <v>1009.8700000000001</v>
      </c>
      <c r="C10">
        <v>25212721</v>
      </c>
      <c r="D10" s="1">
        <v>1011.3</v>
      </c>
      <c r="E10" s="1">
        <v>656189020.35000002</v>
      </c>
      <c r="F10">
        <v>-5.1175363617271041E-2</v>
      </c>
    </row>
    <row r="11" spans="1:6" x14ac:dyDescent="0.3">
      <c r="A11" s="4" t="s">
        <v>5</v>
      </c>
      <c r="B11" s="1">
        <v>10418.380000000001</v>
      </c>
      <c r="C11">
        <v>316569597</v>
      </c>
      <c r="D11" s="1">
        <v>10412.85</v>
      </c>
      <c r="E11" s="1">
        <v>8350602912.8899994</v>
      </c>
      <c r="F11">
        <v>0.46721652154092919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TBBB</vt:lpstr>
      <vt:lpstr>TD-TBBB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Valdez</dc:creator>
  <cp:lastModifiedBy>JORGE DIEGO VALDEZ FONSECA</cp:lastModifiedBy>
  <dcterms:created xsi:type="dcterms:W3CDTF">2025-08-26T02:01:10Z</dcterms:created>
  <dcterms:modified xsi:type="dcterms:W3CDTF">2025-08-26T02:03:43Z</dcterms:modified>
</cp:coreProperties>
</file>